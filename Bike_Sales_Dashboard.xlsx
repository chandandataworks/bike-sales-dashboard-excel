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CER\Desktop\Excel_project_analyst\"/>
    </mc:Choice>
  </mc:AlternateContent>
  <xr:revisionPtr revIDLastSave="0" documentId="8_{B7C1FFDD-9DE5-4E88-9D7A-2A939336D6EC}" xr6:coauthVersionLast="36" xr6:coauthVersionMax="36" xr10:uidLastSave="{00000000-0000-0000-0000-000000000000}"/>
  <bookViews>
    <workbookView xWindow="0" yWindow="0" windowWidth="19008" windowHeight="8940" activeTab="3" xr2:uid="{00000000-000D-0000-FFFF-FFFF00000000}"/>
  </bookViews>
  <sheets>
    <sheet name="bike_buyers" sheetId="1" r:id="rId1"/>
    <sheet name="Working_sheet" sheetId="4" r:id="rId2"/>
    <sheet name="Pivot_Table" sheetId="3" r:id="rId3"/>
    <sheet name="Dashboard" sheetId="2" r:id="rId4"/>
  </sheets>
  <definedNames>
    <definedName name="_xlnm._FilterDatabase" localSheetId="0" hidden="1">bike_buyers!$A$1:$M$1001</definedName>
    <definedName name="_xlnm._FilterDatabase" localSheetId="1" hidden="1">Working_sheet!$A$1:$Q$1027</definedName>
    <definedName name="Slicer_Education">#N/A</definedName>
    <definedName name="Slicer_Marital_Status">#N/A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<sst xmlns="http://schemas.openxmlformats.org/spreadsheetml/2006/main" count="16277" uniqueCount="52">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</sst>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 Perchage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Pivot_Table!$B$4:$B$5</c:f>
              <c:strCache>
                <c:ptCount val="1"/>
                <c:pt idx="0">
                  <c:v>No</c:v>
                </c:pt>
              </c:strCache>
            </c:strRef>
          </c:tx>
          <c:spPr>
            <a:solidFill>
              <a:schemeClr val="accent1"/>
            </a:solidFill>
            <a:ln>
              <a:noFill/>
            </a:ln>
            <a:effectLst/>
          </c:spPr>
          <c:invertIfNegative val="0"/>
          <c:cat>
            <c:strRef>
              <c:f>Pivot_Table!$A$6:$A$8</c:f>
              <c:strCache>
                <c:ptCount val="2"/>
                <c:pt idx="0">
                  <c:v>Female</c:v>
                </c:pt>
                <c:pt idx="1">
                  <c:v>Male</c:v>
                </c:pt>
              </c:strCache>
            </c:strRef>
          </c:cat>
          <c:val>
            <c:numRef>
              <c:f>Pivot_Table!$B$6:$B$8</c:f>
              <c:numCache>
                <c:formatCode>_(* #,##0_);_(* \(#,##0\);_(* "-"??_);_(@_)</c:formatCode>
                <c:ptCount val="2"/>
                <c:pt idx="0">
                  <c:v>53440</c:v>
                </c:pt>
                <c:pt idx="1">
                  <c:v>56208.178438661707</c:v>
                </c:pt>
              </c:numCache>
            </c:numRef>
          </c:val>
          <c:extLst>
            <c:ext xmlns:c16="http://schemas.microsoft.com/office/drawing/2014/chart" uri="{C3380CC4-5D6E-409C-BE32-E72D297353CC}">
              <c16:uniqueId val="{00000000-9178-4610-89C0-3AC912C993DA}"/>
            </c:ext>
          </c:extLst>
        </c:ser>
        <c:ser>
          <c:idx val="1"/>
          <c:order val="1"/>
          <c:tx>
            <c:strRef>
              <c:f>Pivot_Table!$C$4:$C$5</c:f>
              <c:strCache>
                <c:ptCount val="1"/>
                <c:pt idx="0">
                  <c:v>Yes</c:v>
                </c:pt>
              </c:strCache>
            </c:strRef>
          </c:tx>
          <c:spPr>
            <a:solidFill>
              <a:schemeClr val="accent2"/>
            </a:solidFill>
            <a:ln>
              <a:noFill/>
            </a:ln>
            <a:effectLst/>
          </c:spPr>
          <c:invertIfNegative val="0"/>
          <c:cat>
            <c:strRef>
              <c:f>Pivot_Table!$A$6:$A$8</c:f>
              <c:strCache>
                <c:ptCount val="2"/>
                <c:pt idx="0">
                  <c:v>Female</c:v>
                </c:pt>
                <c:pt idx="1">
                  <c:v>Male</c:v>
                </c:pt>
              </c:strCache>
            </c:strRef>
          </c:cat>
          <c:val>
            <c:numRef>
              <c:f>Pivot_Table!$C$6:$C$8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78-4610-89C0-3AC912C993DA}"/>
            </c:ext>
          </c:extLst>
        </c:ser>
        <c:dLbls>
          <c:showLegendKey val="0"/>
          <c:showVal val="0"/>
          <c:showCatName val="0"/>
          <c:showSerName val="0"/>
          <c:showPercent val="0"/>
          <c:showBubbleSize val="0"/>
        </c:dLbls>
        <c:gapWidth val="219"/>
        <c:overlap val="-27"/>
        <c:axId val="109780527"/>
        <c:axId val="34795503"/>
      </c:barChart>
      <c:catAx>
        <c:axId val="1097805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5503"/>
        <c:crosses val="autoZero"/>
        <c:auto val="1"/>
        <c:lblAlgn val="ctr"/>
        <c:lblOffset val="100"/>
        <c:noMultiLvlLbl val="0"/>
      </c:catAx>
      <c:valAx>
        <c:axId val="34795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Pivot_Table!$B$23:$B$24</c:f>
              <c:strCache>
                <c:ptCount val="1"/>
                <c:pt idx="0">
                  <c:v>No</c:v>
                </c:pt>
              </c:strCache>
            </c:strRef>
          </c:tx>
          <c:spPr>
            <a:ln w="28575" cap="rnd">
              <a:solidFill>
                <a:schemeClr val="accent1"/>
              </a:solidFill>
              <a:round/>
            </a:ln>
            <a:effectLst/>
          </c:spPr>
          <c:marker>
            <c:symbol val="none"/>
          </c:marker>
          <c:cat>
            <c:strRef>
              <c:f>Pivot_Table!$A$25:$A$30</c:f>
              <c:strCache>
                <c:ptCount val="5"/>
                <c:pt idx="0">
                  <c:v>0-1 Miles</c:v>
                </c:pt>
                <c:pt idx="1">
                  <c:v>1-2 Miles</c:v>
                </c:pt>
                <c:pt idx="2">
                  <c:v>2-5 Miles</c:v>
                </c:pt>
                <c:pt idx="3">
                  <c:v>5-10 Miles</c:v>
                </c:pt>
                <c:pt idx="4">
                  <c:v>More than 10 Miles</c:v>
                </c:pt>
              </c:strCache>
            </c:strRef>
          </c:cat>
          <c:val>
            <c:numRef>
              <c:f>Pivot_Table!$B$25:$B$30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209-4DB9-A342-1391A4989894}"/>
            </c:ext>
          </c:extLst>
        </c:ser>
        <c:ser>
          <c:idx val="1"/>
          <c:order val="1"/>
          <c:tx>
            <c:strRef>
              <c:f>Pivot_Table!$C$23:$C$24</c:f>
              <c:strCache>
                <c:ptCount val="1"/>
                <c:pt idx="0">
                  <c:v>Yes</c:v>
                </c:pt>
              </c:strCache>
            </c:strRef>
          </c:tx>
          <c:spPr>
            <a:ln w="28575" cap="rnd">
              <a:solidFill>
                <a:schemeClr val="accent2"/>
              </a:solidFill>
              <a:round/>
            </a:ln>
            <a:effectLst/>
          </c:spPr>
          <c:marker>
            <c:symbol val="none"/>
          </c:marker>
          <c:cat>
            <c:strRef>
              <c:f>Pivot_Table!$A$25:$A$30</c:f>
              <c:strCache>
                <c:ptCount val="5"/>
                <c:pt idx="0">
                  <c:v>0-1 Miles</c:v>
                </c:pt>
                <c:pt idx="1">
                  <c:v>1-2 Miles</c:v>
                </c:pt>
                <c:pt idx="2">
                  <c:v>2-5 Miles</c:v>
                </c:pt>
                <c:pt idx="3">
                  <c:v>5-10 Miles</c:v>
                </c:pt>
                <c:pt idx="4">
                  <c:v>More than 10 Miles</c:v>
                </c:pt>
              </c:strCache>
            </c:strRef>
          </c:cat>
          <c:val>
            <c:numRef>
              <c:f>Pivot_Table!$C$25:$C$30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209-4DB9-A342-1391A4989894}"/>
            </c:ext>
          </c:extLst>
        </c:ser>
        <c:dLbls>
          <c:showLegendKey val="0"/>
          <c:showVal val="0"/>
          <c:showCatName val="0"/>
          <c:showSerName val="0"/>
          <c:showPercent val="0"/>
          <c:showBubbleSize val="0"/>
        </c:dLbls>
        <c:smooth val="0"/>
        <c:axId val="34271727"/>
        <c:axId val="2110557743"/>
      </c:lineChart>
      <c:catAx>
        <c:axId val="34271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557743"/>
        <c:crosses val="autoZero"/>
        <c:auto val="1"/>
        <c:lblAlgn val="ctr"/>
        <c:lblOffset val="100"/>
        <c:noMultiLvlLbl val="0"/>
      </c:catAx>
      <c:valAx>
        <c:axId val="211055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c:v>
                </c:pt>
                <c:pt idx="2">
                  <c:v>Old</c:v>
                </c:pt>
              </c:strCache>
            </c:strRef>
          </c:cat>
          <c:val>
            <c:numRef>
              <c:f>Pivot_Table!$B$41:$B$44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BFC-4FBB-80B9-0D541D789790}"/>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c:v>
                </c:pt>
                <c:pt idx="2">
                  <c:v>Old</c:v>
                </c:pt>
              </c:strCache>
            </c:strRef>
          </c:cat>
          <c:val>
            <c:numRef>
              <c:f>Pivot_Table!$C$41:$C$44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BFC-4FBB-80B9-0D541D789790}"/>
            </c:ext>
          </c:extLst>
        </c:ser>
        <c:dLbls>
          <c:showLegendKey val="0"/>
          <c:showVal val="0"/>
          <c:showCatName val="0"/>
          <c:showSerName val="0"/>
          <c:showPercent val="0"/>
          <c:showBubbleSize val="0"/>
        </c:dLbls>
        <c:marker val="1"/>
        <c:smooth val="0"/>
        <c:axId val="34778095"/>
        <c:axId val="105840671"/>
      </c:lineChart>
      <c:catAx>
        <c:axId val="3477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0671"/>
        <c:crosses val="autoZero"/>
        <c:auto val="1"/>
        <c:lblAlgn val="ctr"/>
        <c:lblOffset val="100"/>
        <c:noMultiLvlLbl val="0"/>
      </c:catAx>
      <c:valAx>
        <c:axId val="10584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6935870516185478"/>
          <c:y val="0.20268299795858852"/>
          <c:w val="0.68065791776027995"/>
          <c:h val="0.65853091280256637"/>
        </c:manualLayout>
      </c:layout>
      <c:lineChart>
        <c:grouping val="standard"/>
        <c:varyColors val="0"/>
        <c:ser>
          <c:idx val="0"/>
          <c:order val="0"/>
          <c:tx>
            <c:strRef>
              <c:f>Pivot_Table!$B$57:$B$58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852-4811-99D2-68A64D983739}"/>
            </c:ext>
          </c:extLst>
        </c:ser>
        <c:ser>
          <c:idx val="1"/>
          <c:order val="1"/>
          <c:tx>
            <c:strRef>
              <c:f>Pivot_Table!$C$57:$C$58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852-4811-99D2-68A64D983739}"/>
            </c:ext>
          </c:extLst>
        </c:ser>
        <c:dLbls>
          <c:showLegendKey val="0"/>
          <c:showVal val="0"/>
          <c:showCatName val="0"/>
          <c:showSerName val="0"/>
          <c:showPercent val="0"/>
          <c:showBubbleSize val="0"/>
        </c:dLbls>
        <c:marker val="1"/>
        <c:smooth val="0"/>
        <c:axId val="116417743"/>
        <c:axId val="293924911"/>
      </c:lineChart>
      <c:catAx>
        <c:axId val="11641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24911"/>
        <c:crosses val="autoZero"/>
        <c:auto val="1"/>
        <c:lblAlgn val="ctr"/>
        <c:lblOffset val="100"/>
        <c:noMultiLvlLbl val="0"/>
      </c:catAx>
      <c:valAx>
        <c:axId val="29392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 Perchage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Pivot_Table!$B$4:$B$5</c:f>
              <c:strCache>
                <c:ptCount val="1"/>
                <c:pt idx="0">
                  <c:v>No</c:v>
                </c:pt>
              </c:strCache>
            </c:strRef>
          </c:tx>
          <c:spPr>
            <a:solidFill>
              <a:schemeClr val="accent1"/>
            </a:solidFill>
            <a:ln>
              <a:noFill/>
            </a:ln>
            <a:effectLst/>
          </c:spPr>
          <c:invertIfNegative val="0"/>
          <c:cat>
            <c:strRef>
              <c:f>Pivot_Table!$A$6:$A$8</c:f>
              <c:strCache>
                <c:ptCount val="2"/>
                <c:pt idx="0">
                  <c:v>Female</c:v>
                </c:pt>
                <c:pt idx="1">
                  <c:v>Male</c:v>
                </c:pt>
              </c:strCache>
            </c:strRef>
          </c:cat>
          <c:val>
            <c:numRef>
              <c:f>Pivot_Table!$B$6:$B$8</c:f>
              <c:numCache>
                <c:formatCode>_(* #,##0_);_(* \(#,##0\);_(* "-"??_);_(@_)</c:formatCode>
                <c:ptCount val="2"/>
                <c:pt idx="0">
                  <c:v>53440</c:v>
                </c:pt>
                <c:pt idx="1">
                  <c:v>56208.178438661707</c:v>
                </c:pt>
              </c:numCache>
            </c:numRef>
          </c:val>
          <c:extLst>
            <c:ext xmlns:c16="http://schemas.microsoft.com/office/drawing/2014/chart" uri="{C3380CC4-5D6E-409C-BE32-E72D297353CC}">
              <c16:uniqueId val="{00000000-613E-4FF7-BC67-D027F75EC6D4}"/>
            </c:ext>
          </c:extLst>
        </c:ser>
        <c:ser>
          <c:idx val="1"/>
          <c:order val="1"/>
          <c:tx>
            <c:strRef>
              <c:f>Pivot_Table!$C$4:$C$5</c:f>
              <c:strCache>
                <c:ptCount val="1"/>
                <c:pt idx="0">
                  <c:v>Yes</c:v>
                </c:pt>
              </c:strCache>
            </c:strRef>
          </c:tx>
          <c:spPr>
            <a:solidFill>
              <a:schemeClr val="accent2"/>
            </a:solidFill>
            <a:ln>
              <a:noFill/>
            </a:ln>
            <a:effectLst/>
          </c:spPr>
          <c:invertIfNegative val="0"/>
          <c:cat>
            <c:strRef>
              <c:f>Pivot_Table!$A$6:$A$8</c:f>
              <c:strCache>
                <c:ptCount val="2"/>
                <c:pt idx="0">
                  <c:v>Female</c:v>
                </c:pt>
                <c:pt idx="1">
                  <c:v>Male</c:v>
                </c:pt>
              </c:strCache>
            </c:strRef>
          </c:cat>
          <c:val>
            <c:numRef>
              <c:f>Pivot_Table!$C$6:$C$8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13E-4FF7-BC67-D027F75EC6D4}"/>
            </c:ext>
          </c:extLst>
        </c:ser>
        <c:dLbls>
          <c:showLegendKey val="0"/>
          <c:showVal val="0"/>
          <c:showCatName val="0"/>
          <c:showSerName val="0"/>
          <c:showPercent val="0"/>
          <c:showBubbleSize val="0"/>
        </c:dLbls>
        <c:gapWidth val="219"/>
        <c:overlap val="-27"/>
        <c:axId val="109780527"/>
        <c:axId val="34795503"/>
      </c:barChart>
      <c:catAx>
        <c:axId val="1097805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5503"/>
        <c:crosses val="autoZero"/>
        <c:auto val="1"/>
        <c:lblAlgn val="ctr"/>
        <c:lblOffset val="100"/>
        <c:noMultiLvlLbl val="0"/>
      </c:catAx>
      <c:valAx>
        <c:axId val="34795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Pivot_Table!$B$23:$B$24</c:f>
              <c:strCache>
                <c:ptCount val="1"/>
                <c:pt idx="0">
                  <c:v>No</c:v>
                </c:pt>
              </c:strCache>
            </c:strRef>
          </c:tx>
          <c:spPr>
            <a:ln w="28575" cap="rnd">
              <a:solidFill>
                <a:schemeClr val="accent1"/>
              </a:solidFill>
              <a:round/>
            </a:ln>
            <a:effectLst/>
          </c:spPr>
          <c:marker>
            <c:symbol val="none"/>
          </c:marker>
          <c:cat>
            <c:strRef>
              <c:f>Pivot_Table!$A$25:$A$30</c:f>
              <c:strCache>
                <c:ptCount val="5"/>
                <c:pt idx="0">
                  <c:v>0-1 Miles</c:v>
                </c:pt>
                <c:pt idx="1">
                  <c:v>1-2 Miles</c:v>
                </c:pt>
                <c:pt idx="2">
                  <c:v>2-5 Miles</c:v>
                </c:pt>
                <c:pt idx="3">
                  <c:v>5-10 Miles</c:v>
                </c:pt>
                <c:pt idx="4">
                  <c:v>More than 10 Miles</c:v>
                </c:pt>
              </c:strCache>
            </c:strRef>
          </c:cat>
          <c:val>
            <c:numRef>
              <c:f>Pivot_Table!$B$25:$B$30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708-4CD2-99E6-DA04D26B4430}"/>
            </c:ext>
          </c:extLst>
        </c:ser>
        <c:ser>
          <c:idx val="1"/>
          <c:order val="1"/>
          <c:tx>
            <c:strRef>
              <c:f>Pivot_Table!$C$23:$C$24</c:f>
              <c:strCache>
                <c:ptCount val="1"/>
                <c:pt idx="0">
                  <c:v>Yes</c:v>
                </c:pt>
              </c:strCache>
            </c:strRef>
          </c:tx>
          <c:spPr>
            <a:ln w="28575" cap="rnd">
              <a:solidFill>
                <a:schemeClr val="accent2"/>
              </a:solidFill>
              <a:round/>
            </a:ln>
            <a:effectLst/>
          </c:spPr>
          <c:marker>
            <c:symbol val="none"/>
          </c:marker>
          <c:cat>
            <c:strRef>
              <c:f>Pivot_Table!$A$25:$A$30</c:f>
              <c:strCache>
                <c:ptCount val="5"/>
                <c:pt idx="0">
                  <c:v>0-1 Miles</c:v>
                </c:pt>
                <c:pt idx="1">
                  <c:v>1-2 Miles</c:v>
                </c:pt>
                <c:pt idx="2">
                  <c:v>2-5 Miles</c:v>
                </c:pt>
                <c:pt idx="3">
                  <c:v>5-10 Miles</c:v>
                </c:pt>
                <c:pt idx="4">
                  <c:v>More than 10 Miles</c:v>
                </c:pt>
              </c:strCache>
            </c:strRef>
          </c:cat>
          <c:val>
            <c:numRef>
              <c:f>Pivot_Table!$C$25:$C$30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708-4CD2-99E6-DA04D26B4430}"/>
            </c:ext>
          </c:extLst>
        </c:ser>
        <c:dLbls>
          <c:showLegendKey val="0"/>
          <c:showVal val="0"/>
          <c:showCatName val="0"/>
          <c:showSerName val="0"/>
          <c:showPercent val="0"/>
          <c:showBubbleSize val="0"/>
        </c:dLbls>
        <c:smooth val="0"/>
        <c:axId val="34271727"/>
        <c:axId val="2110557743"/>
      </c:lineChart>
      <c:catAx>
        <c:axId val="34271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557743"/>
        <c:crosses val="autoZero"/>
        <c:auto val="1"/>
        <c:lblAlgn val="ctr"/>
        <c:lblOffset val="100"/>
        <c:noMultiLvlLbl val="0"/>
      </c:catAx>
      <c:valAx>
        <c:axId val="211055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c:v>
                </c:pt>
                <c:pt idx="2">
                  <c:v>Old</c:v>
                </c:pt>
              </c:strCache>
            </c:strRef>
          </c:cat>
          <c:val>
            <c:numRef>
              <c:f>Pivot_Table!$B$41:$B$44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518-44FD-959D-5101DCC9E263}"/>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c:v>
                </c:pt>
                <c:pt idx="2">
                  <c:v>Old</c:v>
                </c:pt>
              </c:strCache>
            </c:strRef>
          </c:cat>
          <c:val>
            <c:numRef>
              <c:f>Pivot_Table!$C$41:$C$44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518-44FD-959D-5101DCC9E263}"/>
            </c:ext>
          </c:extLst>
        </c:ser>
        <c:dLbls>
          <c:showLegendKey val="0"/>
          <c:showVal val="0"/>
          <c:showCatName val="0"/>
          <c:showSerName val="0"/>
          <c:showPercent val="0"/>
          <c:showBubbleSize val="0"/>
        </c:dLbls>
        <c:marker val="1"/>
        <c:smooth val="0"/>
        <c:axId val="34778095"/>
        <c:axId val="105840671"/>
      </c:lineChart>
      <c:catAx>
        <c:axId val="3477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0671"/>
        <c:crosses val="autoZero"/>
        <c:auto val="1"/>
        <c:lblAlgn val="ctr"/>
        <c:lblOffset val="100"/>
        <c:noMultiLvlLbl val="0"/>
      </c:catAx>
      <c:valAx>
        <c:axId val="10584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579120</xdr:colOff>
      <xdr:row>0</xdr:row>
      <xdr:rowOff>0</xdr:rowOff>
    </xdr:from>
    <xdr:to>
      <xdr:col>12</xdr:col>
      <xdr:colOff>403860</xdr:colOff>
      <xdr:row>16</xdr:row>
      <xdr:rowOff>38100</xdr:rowOff>
    </xdr:to>
    <xdr:graphicFrame macro="">
      <xdr:nvGraphicFramePr>
        <xdr:cNvPr id="2" name="Chart 1">
          <a:extLst>
            <a:ext uri="{FF2B5EF4-FFF2-40B4-BE49-F238E27FC236}">
              <a16:creationId xmlns:a16="http://schemas.microsoft.com/office/drawing/2014/main" id="{1541CE8A-096A-4257-95F2-DE26BC94A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18</xdr:row>
      <xdr:rowOff>30480</xdr:rowOff>
    </xdr:from>
    <xdr:to>
      <xdr:col>12</xdr:col>
      <xdr:colOff>403860</xdr:colOff>
      <xdr:row>33</xdr:row>
      <xdr:rowOff>30480</xdr:rowOff>
    </xdr:to>
    <xdr:graphicFrame macro="">
      <xdr:nvGraphicFramePr>
        <xdr:cNvPr id="3" name="Chart 2">
          <a:extLst>
            <a:ext uri="{FF2B5EF4-FFF2-40B4-BE49-F238E27FC236}">
              <a16:creationId xmlns:a16="http://schemas.microsoft.com/office/drawing/2014/main" id="{AFD41ADE-4CC7-4C99-B850-C688DA7D2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34</xdr:row>
      <xdr:rowOff>99060</xdr:rowOff>
    </xdr:from>
    <xdr:to>
      <xdr:col>12</xdr:col>
      <xdr:colOff>403860</xdr:colOff>
      <xdr:row>49</xdr:row>
      <xdr:rowOff>99060</xdr:rowOff>
    </xdr:to>
    <xdr:graphicFrame macro="">
      <xdr:nvGraphicFramePr>
        <xdr:cNvPr id="4" name="Chart 3">
          <a:extLst>
            <a:ext uri="{FF2B5EF4-FFF2-40B4-BE49-F238E27FC236}">
              <a16:creationId xmlns:a16="http://schemas.microsoft.com/office/drawing/2014/main" id="{1A6D825F-C2D9-4999-B153-AD652FACA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441960</xdr:colOff>
      <xdr:row>55</xdr:row>
      <xdr:rowOff>99060</xdr:rowOff>
    </xdr:from>
    <xdr:to>
      <xdr:col>12</xdr:col>
      <xdr:colOff>426720</xdr:colOff>
      <xdr:row>72</xdr:row>
      <xdr:rowOff>22860</xdr:rowOff>
    </xdr:to>
    <xdr:graphicFrame macro="">
      <xdr:nvGraphicFramePr>
        <xdr:cNvPr id="5" name="Chart 4">
          <a:extLst>
            <a:ext uri="{FF2B5EF4-FFF2-40B4-BE49-F238E27FC236}">
              <a16:creationId xmlns:a16="http://schemas.microsoft.com/office/drawing/2014/main" id="{BC22E346-DD99-45C3-A877-B54802F48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6</xdr:row>
      <xdr:rowOff>33171</xdr:rowOff>
    </xdr:from>
    <xdr:to>
      <xdr:col>9</xdr:col>
      <xdr:colOff>49306</xdr:colOff>
      <xdr:row>21</xdr:row>
      <xdr:rowOff>0</xdr:rowOff>
    </xdr:to>
    <xdr:graphicFrame macro="">
      <xdr:nvGraphicFramePr>
        <xdr:cNvPr id="2" name="Chart 1">
          <a:extLst>
            <a:ext uri="{FF2B5EF4-FFF2-40B4-BE49-F238E27FC236}">
              <a16:creationId xmlns:a16="http://schemas.microsoft.com/office/drawing/2014/main" id="{F4F6298A-A593-4E33-95F0-127E5EFF7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62753</xdr:colOff>
      <xdr:row>6</xdr:row>
      <xdr:rowOff>15241</xdr:rowOff>
    </xdr:from>
    <xdr:to>
      <xdr:col>15</xdr:col>
      <xdr:colOff>7620</xdr:colOff>
      <xdr:row>21</xdr:row>
      <xdr:rowOff>0</xdr:rowOff>
    </xdr:to>
    <xdr:graphicFrame macro="">
      <xdr:nvGraphicFramePr>
        <xdr:cNvPr id="3" name="Chart 2">
          <a:extLst>
            <a:ext uri="{FF2B5EF4-FFF2-40B4-BE49-F238E27FC236}">
              <a16:creationId xmlns:a16="http://schemas.microsoft.com/office/drawing/2014/main" id="{C15A2146-AB1D-42FD-9779-58C8C05AD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304799</xdr:colOff>
      <xdr:row>21</xdr:row>
      <xdr:rowOff>147536</xdr:rowOff>
    </xdr:from>
    <xdr:to>
      <xdr:col>14</xdr:col>
      <xdr:colOff>602876</xdr:colOff>
      <xdr:row>35</xdr:row>
      <xdr:rowOff>149712</xdr:rowOff>
    </xdr:to>
    <xdr:graphicFrame macro="">
      <xdr:nvGraphicFramePr>
        <xdr:cNvPr id="4" name="Chart 3">
          <a:extLst>
            <a:ext uri="{FF2B5EF4-FFF2-40B4-BE49-F238E27FC236}">
              <a16:creationId xmlns:a16="http://schemas.microsoft.com/office/drawing/2014/main" id="{A65D7F25-78E7-4EA9-83E5-0D25F2619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39892</xdr:colOff>
      <xdr:row>6</xdr:row>
      <xdr:rowOff>25101</xdr:rowOff>
    </xdr:from>
    <xdr:to>
      <xdr:col>2</xdr:col>
      <xdr:colOff>295835</xdr:colOff>
      <xdr:row>11</xdr:row>
      <xdr:rowOff>134472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28B13C3-DC8B-4409-BE95-5A94F93E278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9892" y="1100866"/>
              <a:ext cx="1475143" cy="1005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107578</xdr:rowOff>
    </xdr:from>
    <xdr:to>
      <xdr:col>2</xdr:col>
      <xdr:colOff>302559</xdr:colOff>
      <xdr:row>27</xdr:row>
      <xdr:rowOff>170331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719F010-8E3F-4E06-ABE3-75E7E5EE3A5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34872"/>
              <a:ext cx="1521759"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166298</xdr:rowOff>
    </xdr:from>
    <xdr:to>
      <xdr:col>2</xdr:col>
      <xdr:colOff>297629</xdr:colOff>
      <xdr:row>18</xdr:row>
      <xdr:rowOff>80685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9CFE0D8-6D41-4776-AFFA-9ADB7B541A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38533"/>
              <a:ext cx="1516829" cy="1169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43.895898148148" createdVersion="6" refreshedVersion="6" minRefreshableVersion="3" recordCount="1000" xr:uid="{57AB3ADE-B013-42E4-BFBF-3852C1BB6AB3}">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18524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64D7F-3439-470C-AF75-E29782F41AE6}" name="PivotTable4"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7:D11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5D0112-85A5-42FD-9D41-6A81C58CF7ED}"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94977-8C4E-4F5A-BE73-F8DCE1856E79}" name="Pivo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99E09A-DF8C-4E59-9634-213C68BE36BB}"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4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0E58E94-C6A7-4ECD-A91A-2EAB298EF173}" sourceName="Marital Status">
  <pivotTables>
    <pivotTable tabId="3" name="PivotTable1"/>
    <pivotTable tabId="3" name="PivotTable2"/>
    <pivotTable tabId="3" name="PivotTable3"/>
    <pivotTable tabId="3" name="PivotTable4"/>
  </pivotTables>
  <data>
    <tabular pivotCacheId="20185240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1B1E4E-413C-409F-8A09-297314FC3C3C}" sourceName="Education">
  <pivotTables>
    <pivotTable tabId="3" name="PivotTable1"/>
    <pivotTable tabId="3" name="PivotTable2"/>
    <pivotTable tabId="3" name="PivotTable3"/>
    <pivotTable tabId="3" name="PivotTable4"/>
  </pivotTables>
  <data>
    <tabular pivotCacheId="20185240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62B92E-F6BE-42D9-835D-07B4D9745D7D}" sourceName="Region">
  <pivotTables>
    <pivotTable tabId="3" name="PivotTable1"/>
    <pivotTable tabId="3" name="PivotTable2"/>
    <pivotTable tabId="3" name="PivotTable3"/>
    <pivotTable tabId="3" name="PivotTable4"/>
  </pivotTables>
  <data>
    <tabular pivotCacheId="20185240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D08C0A5-C4E9-4496-9E98-6EFD2000D694}" cache="Slicer_Marital_Status" caption="Marital Status" rowHeight="234950"/>
  <slicer name="Education" xr10:uid="{80C8DCEC-7FFA-4529-98B0-6A0BA20F6465}" cache="Slicer_Education" caption="Education" rowHeight="234950"/>
  <slicer name="Region" xr10:uid="{EC763948-F14C-4966-AE37-E248B115078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53" workbookViewId="0">
      <selection activeCell="J961"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80DE8-1AFC-4A7F-B55F-A955380EB1F5}">
  <dimension ref="A1:Q1001"/>
  <sheetViews>
    <sheetView topLeftCell="C974" workbookViewId="0">
      <selection activeCell="C29" sqref="C29"/>
    </sheetView>
  </sheetViews>
  <sheetFormatPr defaultRowHeight="14.4" x14ac:dyDescent="0.3"/>
  <cols>
    <col min="1" max="1" width="10.109375" customWidth="1"/>
    <col min="2" max="2" width="19.5546875" customWidth="1"/>
    <col min="3" max="3" width="12.44140625" customWidth="1"/>
    <col min="4" max="4" width="13.33203125" style="1" customWidth="1"/>
    <col min="5" max="5" width="9.88671875" bestFit="1" customWidth="1"/>
    <col min="6" max="6" width="16.21875" bestFit="1" customWidth="1"/>
    <col min="7" max="7" width="12.6640625" bestFit="1" customWidth="1"/>
    <col min="8" max="8" width="14" bestFit="1" customWidth="1"/>
    <col min="9" max="9" width="10.77734375" customWidth="1"/>
    <col min="10" max="10" width="18.77734375" bestFit="1" customWidth="1"/>
    <col min="11" max="11" width="12.88671875" bestFit="1" customWidth="1"/>
    <col min="12" max="13" width="13.6640625" customWidth="1"/>
    <col min="14" max="14" width="16.109375" customWidth="1"/>
  </cols>
  <sheetData>
    <row r="1" spans="1:17" x14ac:dyDescent="0.3">
      <c r="A1" t="s">
        <v>0</v>
      </c>
      <c r="B1" t="s">
        <v>1</v>
      </c>
      <c r="C1" t="s">
        <v>2</v>
      </c>
      <c r="D1" s="1" t="s">
        <v>3</v>
      </c>
      <c r="E1" t="s">
        <v>4</v>
      </c>
      <c r="F1" t="s">
        <v>5</v>
      </c>
      <c r="G1" t="s">
        <v>6</v>
      </c>
      <c r="H1" t="s">
        <v>7</v>
      </c>
      <c r="I1" t="s">
        <v>8</v>
      </c>
      <c r="J1" t="s">
        <v>9</v>
      </c>
      <c r="K1" t="s">
        <v>10</v>
      </c>
      <c r="L1" t="s">
        <v>11</v>
      </c>
      <c r="M1" t="s">
        <v>41</v>
      </c>
      <c r="N1" t="s">
        <v>12</v>
      </c>
    </row>
    <row r="2" spans="1:17" x14ac:dyDescent="0.3">
      <c r="A2">
        <v>12496</v>
      </c>
      <c r="B2" t="s">
        <v>37</v>
      </c>
      <c r="C2" t="s">
        <v>39</v>
      </c>
      <c r="D2" s="1">
        <v>40000</v>
      </c>
      <c r="E2">
        <v>1</v>
      </c>
      <c r="F2" t="s">
        <v>13</v>
      </c>
      <c r="G2" t="s">
        <v>14</v>
      </c>
      <c r="H2" t="s">
        <v>15</v>
      </c>
      <c r="I2">
        <v>0</v>
      </c>
      <c r="J2" t="s">
        <v>16</v>
      </c>
      <c r="K2" t="s">
        <v>17</v>
      </c>
      <c r="L2">
        <v>42</v>
      </c>
      <c r="M2" t="str">
        <f>IF(L2&gt;54,"Old",IF(L2&gt;=31,"Middle Age",IF(L2&lt;31,"Adolescent","Invalid")))</f>
        <v>Middle Age</v>
      </c>
      <c r="N2" t="s">
        <v>18</v>
      </c>
    </row>
    <row r="3" spans="1:17" x14ac:dyDescent="0.3">
      <c r="A3">
        <v>24107</v>
      </c>
      <c r="B3" t="s">
        <v>37</v>
      </c>
      <c r="C3" t="s">
        <v>40</v>
      </c>
      <c r="D3" s="1">
        <v>30000</v>
      </c>
      <c r="E3">
        <v>3</v>
      </c>
      <c r="F3" t="s">
        <v>19</v>
      </c>
      <c r="G3" t="s">
        <v>20</v>
      </c>
      <c r="H3" t="s">
        <v>15</v>
      </c>
      <c r="I3">
        <v>1</v>
      </c>
      <c r="J3" t="s">
        <v>16</v>
      </c>
      <c r="K3" t="s">
        <v>17</v>
      </c>
      <c r="L3">
        <v>43</v>
      </c>
      <c r="M3" t="str">
        <f t="shared" ref="M3:M66" si="0">IF(L3&gt;54,"Old",IF(L3&gt;=31,"Middle Age",IF(L3&lt;31,"Adolescent","Invalid")))</f>
        <v>Middle Age</v>
      </c>
      <c r="N3" t="s">
        <v>18</v>
      </c>
    </row>
    <row r="4" spans="1:17" x14ac:dyDescent="0.3">
      <c r="A4">
        <v>14177</v>
      </c>
      <c r="B4" t="s">
        <v>37</v>
      </c>
      <c r="C4" t="s">
        <v>40</v>
      </c>
      <c r="D4" s="1">
        <v>80000</v>
      </c>
      <c r="E4">
        <v>5</v>
      </c>
      <c r="F4" t="s">
        <v>19</v>
      </c>
      <c r="G4" t="s">
        <v>21</v>
      </c>
      <c r="H4" t="s">
        <v>18</v>
      </c>
      <c r="I4">
        <v>2</v>
      </c>
      <c r="J4" t="s">
        <v>22</v>
      </c>
      <c r="K4" t="s">
        <v>17</v>
      </c>
      <c r="L4">
        <v>60</v>
      </c>
      <c r="M4" t="str">
        <f t="shared" si="0"/>
        <v>Old</v>
      </c>
      <c r="N4" t="s">
        <v>18</v>
      </c>
    </row>
    <row r="5" spans="1:17" x14ac:dyDescent="0.3">
      <c r="A5">
        <v>24381</v>
      </c>
      <c r="B5" t="s">
        <v>38</v>
      </c>
      <c r="C5" t="s">
        <v>40</v>
      </c>
      <c r="D5" s="1">
        <v>70000</v>
      </c>
      <c r="E5">
        <v>0</v>
      </c>
      <c r="F5" t="s">
        <v>13</v>
      </c>
      <c r="G5" t="s">
        <v>21</v>
      </c>
      <c r="H5" t="s">
        <v>15</v>
      </c>
      <c r="I5">
        <v>1</v>
      </c>
      <c r="J5" t="s">
        <v>23</v>
      </c>
      <c r="K5" t="s">
        <v>24</v>
      </c>
      <c r="L5">
        <v>41</v>
      </c>
      <c r="M5" t="str">
        <f t="shared" si="0"/>
        <v>Middle Age</v>
      </c>
      <c r="N5" t="s">
        <v>15</v>
      </c>
    </row>
    <row r="6" spans="1:17" x14ac:dyDescent="0.3">
      <c r="A6">
        <v>25597</v>
      </c>
      <c r="B6" t="s">
        <v>38</v>
      </c>
      <c r="C6" t="s">
        <v>40</v>
      </c>
      <c r="D6" s="1">
        <v>30000</v>
      </c>
      <c r="E6">
        <v>0</v>
      </c>
      <c r="F6" t="s">
        <v>13</v>
      </c>
      <c r="G6" t="s">
        <v>20</v>
      </c>
      <c r="H6" t="s">
        <v>18</v>
      </c>
      <c r="I6">
        <v>0</v>
      </c>
      <c r="J6" t="s">
        <v>16</v>
      </c>
      <c r="K6" t="s">
        <v>17</v>
      </c>
      <c r="L6">
        <v>36</v>
      </c>
      <c r="M6" t="str">
        <f t="shared" si="0"/>
        <v>Middle Age</v>
      </c>
      <c r="N6" t="s">
        <v>15</v>
      </c>
    </row>
    <row r="7" spans="1:17" x14ac:dyDescent="0.3">
      <c r="A7">
        <v>13507</v>
      </c>
      <c r="B7" t="s">
        <v>37</v>
      </c>
      <c r="C7" t="s">
        <v>39</v>
      </c>
      <c r="D7" s="1">
        <v>10000</v>
      </c>
      <c r="E7">
        <v>2</v>
      </c>
      <c r="F7" t="s">
        <v>19</v>
      </c>
      <c r="G7" t="s">
        <v>25</v>
      </c>
      <c r="H7" t="s">
        <v>15</v>
      </c>
      <c r="I7">
        <v>0</v>
      </c>
      <c r="J7" t="s">
        <v>26</v>
      </c>
      <c r="K7" t="s">
        <v>17</v>
      </c>
      <c r="L7">
        <v>50</v>
      </c>
      <c r="M7" t="str">
        <f t="shared" si="0"/>
        <v>Middle Age</v>
      </c>
      <c r="N7" t="s">
        <v>18</v>
      </c>
    </row>
    <row r="8" spans="1:17" x14ac:dyDescent="0.3">
      <c r="A8">
        <v>27974</v>
      </c>
      <c r="B8" t="s">
        <v>38</v>
      </c>
      <c r="C8" t="s">
        <v>40</v>
      </c>
      <c r="D8" s="1">
        <v>160000</v>
      </c>
      <c r="E8">
        <v>2</v>
      </c>
      <c r="F8" t="s">
        <v>27</v>
      </c>
      <c r="G8" t="s">
        <v>28</v>
      </c>
      <c r="H8" t="s">
        <v>15</v>
      </c>
      <c r="I8">
        <v>4</v>
      </c>
      <c r="J8" t="s">
        <v>16</v>
      </c>
      <c r="K8" t="s">
        <v>24</v>
      </c>
      <c r="L8">
        <v>33</v>
      </c>
      <c r="M8" t="str">
        <f t="shared" si="0"/>
        <v>Middle Age</v>
      </c>
      <c r="N8" t="s">
        <v>15</v>
      </c>
      <c r="Q8" t="s">
        <v>36</v>
      </c>
    </row>
    <row r="9" spans="1:17" x14ac:dyDescent="0.3">
      <c r="A9">
        <v>19364</v>
      </c>
      <c r="B9" t="s">
        <v>37</v>
      </c>
      <c r="C9" t="s">
        <v>40</v>
      </c>
      <c r="D9" s="1">
        <v>40000</v>
      </c>
      <c r="E9">
        <v>1</v>
      </c>
      <c r="F9" t="s">
        <v>13</v>
      </c>
      <c r="G9" t="s">
        <v>14</v>
      </c>
      <c r="H9" t="s">
        <v>15</v>
      </c>
      <c r="I9">
        <v>0</v>
      </c>
      <c r="J9" t="s">
        <v>16</v>
      </c>
      <c r="K9" t="s">
        <v>17</v>
      </c>
      <c r="L9">
        <v>43</v>
      </c>
      <c r="M9" t="str">
        <f t="shared" si="0"/>
        <v>Middle Age</v>
      </c>
      <c r="N9" t="s">
        <v>15</v>
      </c>
    </row>
    <row r="10" spans="1:17" x14ac:dyDescent="0.3">
      <c r="A10">
        <v>22155</v>
      </c>
      <c r="B10" t="s">
        <v>37</v>
      </c>
      <c r="C10" t="s">
        <v>40</v>
      </c>
      <c r="D10" s="1">
        <v>20000</v>
      </c>
      <c r="E10">
        <v>2</v>
      </c>
      <c r="F10" t="s">
        <v>29</v>
      </c>
      <c r="G10" t="s">
        <v>20</v>
      </c>
      <c r="H10" t="s">
        <v>15</v>
      </c>
      <c r="I10">
        <v>2</v>
      </c>
      <c r="J10" t="s">
        <v>23</v>
      </c>
      <c r="K10" t="s">
        <v>24</v>
      </c>
      <c r="L10">
        <v>58</v>
      </c>
      <c r="M10" t="str">
        <f t="shared" si="0"/>
        <v>Old</v>
      </c>
      <c r="N10" t="s">
        <v>18</v>
      </c>
    </row>
    <row r="11" spans="1:17" x14ac:dyDescent="0.3">
      <c r="A11">
        <v>19280</v>
      </c>
      <c r="B11" t="s">
        <v>37</v>
      </c>
      <c r="C11" t="s">
        <v>40</v>
      </c>
      <c r="D11" s="1">
        <v>120000</v>
      </c>
      <c r="E11">
        <v>2</v>
      </c>
      <c r="F11" t="s">
        <v>19</v>
      </c>
      <c r="G11" t="s">
        <v>25</v>
      </c>
      <c r="H11" t="s">
        <v>15</v>
      </c>
      <c r="I11">
        <v>1</v>
      </c>
      <c r="J11" t="s">
        <v>16</v>
      </c>
      <c r="K11" t="s">
        <v>17</v>
      </c>
      <c r="L11">
        <v>40</v>
      </c>
      <c r="M11" t="str">
        <f t="shared" si="0"/>
        <v>Middle Age</v>
      </c>
      <c r="N11" t="s">
        <v>15</v>
      </c>
    </row>
    <row r="12" spans="1:17" x14ac:dyDescent="0.3">
      <c r="A12">
        <v>22173</v>
      </c>
      <c r="B12" t="s">
        <v>37</v>
      </c>
      <c r="C12" t="s">
        <v>39</v>
      </c>
      <c r="D12" s="1">
        <v>30000</v>
      </c>
      <c r="E12">
        <v>3</v>
      </c>
      <c r="F12" t="s">
        <v>27</v>
      </c>
      <c r="G12" t="s">
        <v>14</v>
      </c>
      <c r="H12" t="s">
        <v>18</v>
      </c>
      <c r="I12">
        <v>2</v>
      </c>
      <c r="J12" t="s">
        <v>26</v>
      </c>
      <c r="K12" t="s">
        <v>24</v>
      </c>
      <c r="L12">
        <v>54</v>
      </c>
      <c r="M12" t="str">
        <f t="shared" si="0"/>
        <v>Middle Age</v>
      </c>
      <c r="N12" t="s">
        <v>15</v>
      </c>
    </row>
    <row r="13" spans="1:17" x14ac:dyDescent="0.3">
      <c r="A13">
        <v>12697</v>
      </c>
      <c r="B13" t="s">
        <v>38</v>
      </c>
      <c r="C13" t="s">
        <v>39</v>
      </c>
      <c r="D13" s="1">
        <v>90000</v>
      </c>
      <c r="E13">
        <v>0</v>
      </c>
      <c r="F13" t="s">
        <v>13</v>
      </c>
      <c r="G13" t="s">
        <v>21</v>
      </c>
      <c r="H13" t="s">
        <v>18</v>
      </c>
      <c r="I13">
        <v>4</v>
      </c>
      <c r="J13" t="s">
        <v>47</v>
      </c>
      <c r="K13" t="s">
        <v>24</v>
      </c>
      <c r="L13">
        <v>36</v>
      </c>
      <c r="M13" t="str">
        <f t="shared" si="0"/>
        <v>Middle Age</v>
      </c>
      <c r="N13" t="s">
        <v>18</v>
      </c>
    </row>
    <row r="14" spans="1:17" x14ac:dyDescent="0.3">
      <c r="A14">
        <v>11434</v>
      </c>
      <c r="B14" t="s">
        <v>37</v>
      </c>
      <c r="C14" t="s">
        <v>40</v>
      </c>
      <c r="D14" s="1">
        <v>170000</v>
      </c>
      <c r="E14">
        <v>5</v>
      </c>
      <c r="F14" t="s">
        <v>19</v>
      </c>
      <c r="G14" t="s">
        <v>21</v>
      </c>
      <c r="H14" t="s">
        <v>15</v>
      </c>
      <c r="I14">
        <v>0</v>
      </c>
      <c r="J14" t="s">
        <v>16</v>
      </c>
      <c r="K14" t="s">
        <v>17</v>
      </c>
      <c r="L14">
        <v>55</v>
      </c>
      <c r="M14" t="str">
        <f t="shared" si="0"/>
        <v>Old</v>
      </c>
      <c r="N14" t="s">
        <v>18</v>
      </c>
    </row>
    <row r="15" spans="1:17" x14ac:dyDescent="0.3">
      <c r="A15">
        <v>25323</v>
      </c>
      <c r="B15" t="s">
        <v>37</v>
      </c>
      <c r="C15" t="s">
        <v>40</v>
      </c>
      <c r="D15" s="1">
        <v>40000</v>
      </c>
      <c r="E15">
        <v>2</v>
      </c>
      <c r="F15" t="s">
        <v>19</v>
      </c>
      <c r="G15" t="s">
        <v>20</v>
      </c>
      <c r="H15" t="s">
        <v>15</v>
      </c>
      <c r="I15">
        <v>1</v>
      </c>
      <c r="J15" t="s">
        <v>26</v>
      </c>
      <c r="K15" t="s">
        <v>17</v>
      </c>
      <c r="L15">
        <v>35</v>
      </c>
      <c r="M15" t="str">
        <f t="shared" si="0"/>
        <v>Middle Age</v>
      </c>
      <c r="N15" t="s">
        <v>15</v>
      </c>
    </row>
    <row r="16" spans="1:17" x14ac:dyDescent="0.3">
      <c r="A16">
        <v>23542</v>
      </c>
      <c r="B16" t="s">
        <v>38</v>
      </c>
      <c r="C16" t="s">
        <v>40</v>
      </c>
      <c r="D16" s="1">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38</v>
      </c>
      <c r="C18" t="s">
        <v>40</v>
      </c>
      <c r="D18" s="1">
        <v>30000</v>
      </c>
      <c r="E18">
        <v>3</v>
      </c>
      <c r="F18" t="s">
        <v>19</v>
      </c>
      <c r="G18" t="s">
        <v>20</v>
      </c>
      <c r="H18" t="s">
        <v>18</v>
      </c>
      <c r="I18">
        <v>2</v>
      </c>
      <c r="J18" t="s">
        <v>26</v>
      </c>
      <c r="K18" t="s">
        <v>24</v>
      </c>
      <c r="L18">
        <v>59</v>
      </c>
      <c r="M18" t="str">
        <f t="shared" si="0"/>
        <v>Old</v>
      </c>
      <c r="N18" t="s">
        <v>15</v>
      </c>
    </row>
    <row r="19" spans="1:14" x14ac:dyDescent="0.3">
      <c r="A19">
        <v>12610</v>
      </c>
      <c r="B19" t="s">
        <v>37</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38</v>
      </c>
      <c r="C20" t="s">
        <v>40</v>
      </c>
      <c r="D20" s="1">
        <v>40000</v>
      </c>
      <c r="E20">
        <v>2</v>
      </c>
      <c r="F20" t="s">
        <v>19</v>
      </c>
      <c r="G20" t="s">
        <v>20</v>
      </c>
      <c r="H20" t="s">
        <v>15</v>
      </c>
      <c r="I20">
        <v>1</v>
      </c>
      <c r="J20" t="s">
        <v>26</v>
      </c>
      <c r="K20" t="s">
        <v>17</v>
      </c>
      <c r="L20">
        <v>35</v>
      </c>
      <c r="M20" t="str">
        <f t="shared" si="0"/>
        <v>Middle Age</v>
      </c>
      <c r="N20" t="s">
        <v>15</v>
      </c>
    </row>
    <row r="21" spans="1:14" x14ac:dyDescent="0.3">
      <c r="A21">
        <v>25940</v>
      </c>
      <c r="B21" t="s">
        <v>38</v>
      </c>
      <c r="C21" t="s">
        <v>40</v>
      </c>
      <c r="D21" s="1">
        <v>20000</v>
      </c>
      <c r="E21">
        <v>2</v>
      </c>
      <c r="F21" t="s">
        <v>29</v>
      </c>
      <c r="G21" t="s">
        <v>20</v>
      </c>
      <c r="H21" t="s">
        <v>15</v>
      </c>
      <c r="I21">
        <v>2</v>
      </c>
      <c r="J21" t="s">
        <v>23</v>
      </c>
      <c r="K21" t="s">
        <v>24</v>
      </c>
      <c r="L21">
        <v>55</v>
      </c>
      <c r="M21" t="str">
        <f t="shared" si="0"/>
        <v>Old</v>
      </c>
      <c r="N21" t="s">
        <v>15</v>
      </c>
    </row>
    <row r="22" spans="1:14" x14ac:dyDescent="0.3">
      <c r="A22">
        <v>25598</v>
      </c>
      <c r="B22" t="s">
        <v>37</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s="1">
        <v>80000</v>
      </c>
      <c r="E23">
        <v>0</v>
      </c>
      <c r="F23" t="s">
        <v>13</v>
      </c>
      <c r="G23" t="s">
        <v>21</v>
      </c>
      <c r="H23" t="s">
        <v>15</v>
      </c>
      <c r="I23">
        <v>4</v>
      </c>
      <c r="J23" t="s">
        <v>47</v>
      </c>
      <c r="K23" t="s">
        <v>24</v>
      </c>
      <c r="L23">
        <v>35</v>
      </c>
      <c r="M23" t="str">
        <f t="shared" si="0"/>
        <v>Middle Age</v>
      </c>
      <c r="N23" t="s">
        <v>18</v>
      </c>
    </row>
    <row r="24" spans="1:14" x14ac:dyDescent="0.3">
      <c r="A24">
        <v>19193</v>
      </c>
      <c r="B24" t="s">
        <v>38</v>
      </c>
      <c r="C24" t="s">
        <v>40</v>
      </c>
      <c r="D24" s="1">
        <v>40000</v>
      </c>
      <c r="E24">
        <v>2</v>
      </c>
      <c r="F24" t="s">
        <v>19</v>
      </c>
      <c r="G24" t="s">
        <v>20</v>
      </c>
      <c r="H24" t="s">
        <v>15</v>
      </c>
      <c r="I24">
        <v>0</v>
      </c>
      <c r="J24" t="s">
        <v>26</v>
      </c>
      <c r="K24" t="s">
        <v>17</v>
      </c>
      <c r="L24">
        <v>35</v>
      </c>
      <c r="M24" t="str">
        <f t="shared" si="0"/>
        <v>Middle Age</v>
      </c>
      <c r="N24" t="s">
        <v>15</v>
      </c>
    </row>
    <row r="25" spans="1:14" x14ac:dyDescent="0.3">
      <c r="A25">
        <v>26412</v>
      </c>
      <c r="B25" t="s">
        <v>37</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38</v>
      </c>
      <c r="C26" t="s">
        <v>40</v>
      </c>
      <c r="D26" s="1">
        <v>40000</v>
      </c>
      <c r="E26">
        <v>2</v>
      </c>
      <c r="F26" t="s">
        <v>19</v>
      </c>
      <c r="G26" t="s">
        <v>20</v>
      </c>
      <c r="H26" t="s">
        <v>18</v>
      </c>
      <c r="I26">
        <v>1</v>
      </c>
      <c r="J26" t="s">
        <v>16</v>
      </c>
      <c r="K26" t="s">
        <v>17</v>
      </c>
      <c r="L26">
        <v>34</v>
      </c>
      <c r="M26" t="str">
        <f t="shared" si="0"/>
        <v>Middle Age</v>
      </c>
      <c r="N26" t="s">
        <v>18</v>
      </c>
    </row>
    <row r="27" spans="1:14" x14ac:dyDescent="0.3">
      <c r="A27">
        <v>12590</v>
      </c>
      <c r="B27" t="s">
        <v>38</v>
      </c>
      <c r="C27" t="s">
        <v>40</v>
      </c>
      <c r="D27" s="1">
        <v>30000</v>
      </c>
      <c r="E27">
        <v>1</v>
      </c>
      <c r="F27" t="s">
        <v>13</v>
      </c>
      <c r="G27" t="s">
        <v>20</v>
      </c>
      <c r="H27" t="s">
        <v>15</v>
      </c>
      <c r="I27">
        <v>0</v>
      </c>
      <c r="J27" t="s">
        <v>16</v>
      </c>
      <c r="K27" t="s">
        <v>17</v>
      </c>
      <c r="L27">
        <v>63</v>
      </c>
      <c r="M27" t="str">
        <f t="shared" si="0"/>
        <v>Old</v>
      </c>
      <c r="N27" t="s">
        <v>18</v>
      </c>
    </row>
    <row r="28" spans="1:14" x14ac:dyDescent="0.3">
      <c r="A28">
        <v>17841</v>
      </c>
      <c r="B28" t="s">
        <v>38</v>
      </c>
      <c r="C28" t="s">
        <v>40</v>
      </c>
      <c r="D28" s="1">
        <v>30000</v>
      </c>
      <c r="E28">
        <v>0</v>
      </c>
      <c r="F28" t="s">
        <v>19</v>
      </c>
      <c r="G28" t="s">
        <v>20</v>
      </c>
      <c r="H28" t="s">
        <v>18</v>
      </c>
      <c r="I28">
        <v>1</v>
      </c>
      <c r="J28" t="s">
        <v>16</v>
      </c>
      <c r="K28" t="s">
        <v>17</v>
      </c>
      <c r="L28">
        <v>29</v>
      </c>
      <c r="M28" t="str">
        <f t="shared" si="0"/>
        <v>Adolescent</v>
      </c>
      <c r="N28" t="s">
        <v>15</v>
      </c>
    </row>
    <row r="29" spans="1:14" x14ac:dyDescent="0.3">
      <c r="A29">
        <v>18283</v>
      </c>
      <c r="B29" t="s">
        <v>38</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37</v>
      </c>
      <c r="C30" t="s">
        <v>40</v>
      </c>
      <c r="D30" s="1">
        <v>70000</v>
      </c>
      <c r="E30">
        <v>5</v>
      </c>
      <c r="F30" t="s">
        <v>19</v>
      </c>
      <c r="G30" t="s">
        <v>14</v>
      </c>
      <c r="H30" t="s">
        <v>15</v>
      </c>
      <c r="I30">
        <v>2</v>
      </c>
      <c r="J30" t="s">
        <v>23</v>
      </c>
      <c r="K30" t="s">
        <v>24</v>
      </c>
      <c r="L30">
        <v>44</v>
      </c>
      <c r="M30" t="str">
        <f t="shared" si="0"/>
        <v>Middle Age</v>
      </c>
      <c r="N30" t="s">
        <v>18</v>
      </c>
    </row>
    <row r="31" spans="1:14" x14ac:dyDescent="0.3">
      <c r="A31">
        <v>16466</v>
      </c>
      <c r="B31" t="s">
        <v>38</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37</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37</v>
      </c>
      <c r="C33" t="s">
        <v>40</v>
      </c>
      <c r="D33" s="1">
        <v>10000</v>
      </c>
      <c r="E33">
        <v>0</v>
      </c>
      <c r="F33" t="s">
        <v>19</v>
      </c>
      <c r="G33" t="s">
        <v>25</v>
      </c>
      <c r="H33" t="s">
        <v>18</v>
      </c>
      <c r="I33">
        <v>1</v>
      </c>
      <c r="J33" t="s">
        <v>16</v>
      </c>
      <c r="K33" t="s">
        <v>24</v>
      </c>
      <c r="L33">
        <v>26</v>
      </c>
      <c r="M33" t="str">
        <f t="shared" si="0"/>
        <v>Adolescent</v>
      </c>
      <c r="N33" t="s">
        <v>15</v>
      </c>
    </row>
    <row r="34" spans="1:14" x14ac:dyDescent="0.3">
      <c r="A34">
        <v>20942</v>
      </c>
      <c r="B34" t="s">
        <v>38</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38</v>
      </c>
      <c r="C35" t="s">
        <v>40</v>
      </c>
      <c r="D35" s="1">
        <v>80000</v>
      </c>
      <c r="E35">
        <v>2</v>
      </c>
      <c r="F35" t="s">
        <v>27</v>
      </c>
      <c r="G35" t="s">
        <v>14</v>
      </c>
      <c r="H35" t="s">
        <v>18</v>
      </c>
      <c r="I35">
        <v>2</v>
      </c>
      <c r="J35" t="s">
        <v>26</v>
      </c>
      <c r="K35" t="s">
        <v>24</v>
      </c>
      <c r="L35">
        <v>50</v>
      </c>
      <c r="M35" t="str">
        <f t="shared" si="0"/>
        <v>Middle Age</v>
      </c>
      <c r="N35" t="s">
        <v>15</v>
      </c>
    </row>
    <row r="36" spans="1:14" x14ac:dyDescent="0.3">
      <c r="A36">
        <v>12291</v>
      </c>
      <c r="B36" t="s">
        <v>38</v>
      </c>
      <c r="C36" t="s">
        <v>40</v>
      </c>
      <c r="D36" s="1">
        <v>90000</v>
      </c>
      <c r="E36">
        <v>5</v>
      </c>
      <c r="F36" t="s">
        <v>19</v>
      </c>
      <c r="G36" t="s">
        <v>21</v>
      </c>
      <c r="H36" t="s">
        <v>18</v>
      </c>
      <c r="I36">
        <v>2</v>
      </c>
      <c r="J36" t="s">
        <v>22</v>
      </c>
      <c r="K36" t="s">
        <v>17</v>
      </c>
      <c r="L36">
        <v>62</v>
      </c>
      <c r="M36" t="str">
        <f t="shared" si="0"/>
        <v>Old</v>
      </c>
      <c r="N36" t="s">
        <v>15</v>
      </c>
    </row>
    <row r="37" spans="1:14" x14ac:dyDescent="0.3">
      <c r="A37">
        <v>28380</v>
      </c>
      <c r="B37" t="s">
        <v>38</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37</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38</v>
      </c>
      <c r="C40" t="s">
        <v>40</v>
      </c>
      <c r="D40" s="1">
        <v>20000</v>
      </c>
      <c r="E40">
        <v>0</v>
      </c>
      <c r="F40" t="s">
        <v>27</v>
      </c>
      <c r="G40" t="s">
        <v>25</v>
      </c>
      <c r="H40" t="s">
        <v>18</v>
      </c>
      <c r="I40">
        <v>1</v>
      </c>
      <c r="J40" t="s">
        <v>22</v>
      </c>
      <c r="K40" t="s">
        <v>17</v>
      </c>
      <c r="L40">
        <v>28</v>
      </c>
      <c r="M40" t="str">
        <f t="shared" si="0"/>
        <v>Adolescent</v>
      </c>
      <c r="N40" t="s">
        <v>18</v>
      </c>
    </row>
    <row r="41" spans="1:14" x14ac:dyDescent="0.3">
      <c r="A41">
        <v>16259</v>
      </c>
      <c r="B41" t="s">
        <v>38</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38</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38</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37</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37</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37</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37</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37</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37</v>
      </c>
      <c r="C50" t="s">
        <v>40</v>
      </c>
      <c r="D50" s="1">
        <v>30000</v>
      </c>
      <c r="E50">
        <v>2</v>
      </c>
      <c r="F50" t="s">
        <v>19</v>
      </c>
      <c r="G50" t="s">
        <v>20</v>
      </c>
      <c r="H50" t="s">
        <v>18</v>
      </c>
      <c r="I50">
        <v>2</v>
      </c>
      <c r="J50" t="s">
        <v>16</v>
      </c>
      <c r="K50" t="s">
        <v>17</v>
      </c>
      <c r="L50">
        <v>42</v>
      </c>
      <c r="M50" t="str">
        <f t="shared" si="0"/>
        <v>Middle Age</v>
      </c>
      <c r="N50" t="s">
        <v>18</v>
      </c>
    </row>
    <row r="51" spans="1:14" x14ac:dyDescent="0.3">
      <c r="A51">
        <v>14939</v>
      </c>
      <c r="B51" t="s">
        <v>38</v>
      </c>
      <c r="C51" t="s">
        <v>40</v>
      </c>
      <c r="D51" s="1">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38</v>
      </c>
      <c r="C53" t="s">
        <v>40</v>
      </c>
      <c r="D53" s="1">
        <v>80000</v>
      </c>
      <c r="E53">
        <v>0</v>
      </c>
      <c r="F53" t="s">
        <v>13</v>
      </c>
      <c r="G53" t="s">
        <v>21</v>
      </c>
      <c r="H53" t="s">
        <v>18</v>
      </c>
      <c r="I53">
        <v>4</v>
      </c>
      <c r="J53" t="s">
        <v>47</v>
      </c>
      <c r="K53" t="s">
        <v>24</v>
      </c>
      <c r="L53">
        <v>35</v>
      </c>
      <c r="M53" t="str">
        <f t="shared" si="0"/>
        <v>Middle Age</v>
      </c>
      <c r="N53" t="s">
        <v>18</v>
      </c>
    </row>
    <row r="54" spans="1:14" x14ac:dyDescent="0.3">
      <c r="A54">
        <v>12558</v>
      </c>
      <c r="B54" t="s">
        <v>37</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38</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37</v>
      </c>
      <c r="C57" t="s">
        <v>40</v>
      </c>
      <c r="D57" s="1">
        <v>80000</v>
      </c>
      <c r="E57">
        <v>4</v>
      </c>
      <c r="F57" t="s">
        <v>27</v>
      </c>
      <c r="G57" t="s">
        <v>21</v>
      </c>
      <c r="H57" t="s">
        <v>15</v>
      </c>
      <c r="I57">
        <v>2</v>
      </c>
      <c r="J57" t="s">
        <v>47</v>
      </c>
      <c r="K57" t="s">
        <v>17</v>
      </c>
      <c r="L57">
        <v>54</v>
      </c>
      <c r="M57" t="str">
        <f t="shared" si="0"/>
        <v>Middle Age</v>
      </c>
      <c r="N57" t="s">
        <v>18</v>
      </c>
    </row>
    <row r="58" spans="1:14" x14ac:dyDescent="0.3">
      <c r="A58">
        <v>12808</v>
      </c>
      <c r="B58" t="s">
        <v>37</v>
      </c>
      <c r="C58" t="s">
        <v>40</v>
      </c>
      <c r="D58" s="1">
        <v>40000</v>
      </c>
      <c r="E58">
        <v>0</v>
      </c>
      <c r="F58" t="s">
        <v>13</v>
      </c>
      <c r="G58" t="s">
        <v>20</v>
      </c>
      <c r="H58" t="s">
        <v>15</v>
      </c>
      <c r="I58">
        <v>0</v>
      </c>
      <c r="J58" t="s">
        <v>16</v>
      </c>
      <c r="K58" t="s">
        <v>17</v>
      </c>
      <c r="L58">
        <v>38</v>
      </c>
      <c r="M58" t="str">
        <f t="shared" si="0"/>
        <v>Middle Age</v>
      </c>
      <c r="N58" t="s">
        <v>15</v>
      </c>
    </row>
    <row r="59" spans="1:14" x14ac:dyDescent="0.3">
      <c r="A59">
        <v>20567</v>
      </c>
      <c r="B59" t="s">
        <v>37</v>
      </c>
      <c r="C59" t="s">
        <v>40</v>
      </c>
      <c r="D59" s="1">
        <v>130000</v>
      </c>
      <c r="E59">
        <v>4</v>
      </c>
      <c r="F59" t="s">
        <v>19</v>
      </c>
      <c r="G59" t="s">
        <v>21</v>
      </c>
      <c r="H59" t="s">
        <v>18</v>
      </c>
      <c r="I59">
        <v>4</v>
      </c>
      <c r="J59" t="s">
        <v>23</v>
      </c>
      <c r="K59" t="s">
        <v>17</v>
      </c>
      <c r="L59">
        <v>61</v>
      </c>
      <c r="M59" t="str">
        <f t="shared" si="0"/>
        <v>Old</v>
      </c>
      <c r="N59" t="s">
        <v>15</v>
      </c>
    </row>
    <row r="60" spans="1:14" x14ac:dyDescent="0.3">
      <c r="A60">
        <v>25502</v>
      </c>
      <c r="B60" t="s">
        <v>37</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37</v>
      </c>
      <c r="C61" t="s">
        <v>40</v>
      </c>
      <c r="D61" s="1">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37</v>
      </c>
      <c r="C64" t="s">
        <v>40</v>
      </c>
      <c r="D64" s="1">
        <v>40000</v>
      </c>
      <c r="E64">
        <v>2</v>
      </c>
      <c r="F64" t="s">
        <v>13</v>
      </c>
      <c r="G64" t="s">
        <v>28</v>
      </c>
      <c r="H64" t="s">
        <v>15</v>
      </c>
      <c r="I64">
        <v>1</v>
      </c>
      <c r="J64" t="s">
        <v>16</v>
      </c>
      <c r="K64" t="s">
        <v>24</v>
      </c>
      <c r="L64">
        <v>52</v>
      </c>
      <c r="M64" t="str">
        <f t="shared" si="0"/>
        <v>Middle Age</v>
      </c>
      <c r="N64" t="s">
        <v>15</v>
      </c>
    </row>
    <row r="65" spans="1:14" x14ac:dyDescent="0.3">
      <c r="A65">
        <v>16185</v>
      </c>
      <c r="B65" t="s">
        <v>38</v>
      </c>
      <c r="C65" t="s">
        <v>40</v>
      </c>
      <c r="D65" s="1">
        <v>60000</v>
      </c>
      <c r="E65">
        <v>4</v>
      </c>
      <c r="F65" t="s">
        <v>13</v>
      </c>
      <c r="G65" t="s">
        <v>21</v>
      </c>
      <c r="H65" t="s">
        <v>15</v>
      </c>
      <c r="I65">
        <v>3</v>
      </c>
      <c r="J65" t="s">
        <v>47</v>
      </c>
      <c r="K65" t="s">
        <v>24</v>
      </c>
      <c r="L65">
        <v>41</v>
      </c>
      <c r="M65" t="str">
        <f t="shared" si="0"/>
        <v>Middle Age</v>
      </c>
      <c r="N65" t="s">
        <v>18</v>
      </c>
    </row>
    <row r="66" spans="1:14" x14ac:dyDescent="0.3">
      <c r="A66">
        <v>14927</v>
      </c>
      <c r="B66" t="s">
        <v>37</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38</v>
      </c>
      <c r="C67" t="s">
        <v>40</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37</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38</v>
      </c>
      <c r="C69" t="s">
        <v>40</v>
      </c>
      <c r="D69" s="1">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37</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37</v>
      </c>
      <c r="C72" t="s">
        <v>40</v>
      </c>
      <c r="D72" s="1">
        <v>120000</v>
      </c>
      <c r="E72">
        <v>0</v>
      </c>
      <c r="F72" t="s">
        <v>29</v>
      </c>
      <c r="G72" t="s">
        <v>21</v>
      </c>
      <c r="H72" t="s">
        <v>15</v>
      </c>
      <c r="I72">
        <v>4</v>
      </c>
      <c r="J72" t="s">
        <v>47</v>
      </c>
      <c r="K72" t="s">
        <v>24</v>
      </c>
      <c r="L72">
        <v>36</v>
      </c>
      <c r="M72" t="str">
        <f t="shared" si="1"/>
        <v>Middle Age</v>
      </c>
      <c r="N72" t="s">
        <v>15</v>
      </c>
    </row>
    <row r="73" spans="1:14" x14ac:dyDescent="0.3">
      <c r="A73">
        <v>16200</v>
      </c>
      <c r="B73" t="s">
        <v>38</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37</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38</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37</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38</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38</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37</v>
      </c>
      <c r="C79" t="s">
        <v>40</v>
      </c>
      <c r="D79" s="1">
        <v>80000</v>
      </c>
      <c r="E79">
        <v>0</v>
      </c>
      <c r="F79" t="s">
        <v>13</v>
      </c>
      <c r="G79" t="s">
        <v>21</v>
      </c>
      <c r="H79" t="s">
        <v>15</v>
      </c>
      <c r="I79">
        <v>2</v>
      </c>
      <c r="J79" t="s">
        <v>47</v>
      </c>
      <c r="K79" t="s">
        <v>24</v>
      </c>
      <c r="L79">
        <v>29</v>
      </c>
      <c r="M79" t="str">
        <f t="shared" si="1"/>
        <v>Adolescent</v>
      </c>
      <c r="N79" t="s">
        <v>15</v>
      </c>
    </row>
    <row r="80" spans="1:14" x14ac:dyDescent="0.3">
      <c r="A80">
        <v>15752</v>
      </c>
      <c r="B80" t="s">
        <v>37</v>
      </c>
      <c r="C80" t="s">
        <v>40</v>
      </c>
      <c r="D80" s="1">
        <v>80000</v>
      </c>
      <c r="E80">
        <v>2</v>
      </c>
      <c r="F80" t="s">
        <v>27</v>
      </c>
      <c r="G80" t="s">
        <v>14</v>
      </c>
      <c r="H80" t="s">
        <v>18</v>
      </c>
      <c r="I80">
        <v>2</v>
      </c>
      <c r="J80" t="s">
        <v>26</v>
      </c>
      <c r="K80" t="s">
        <v>24</v>
      </c>
      <c r="L80">
        <v>50</v>
      </c>
      <c r="M80" t="str">
        <f t="shared" si="1"/>
        <v>Middle Age</v>
      </c>
      <c r="N80" t="s">
        <v>15</v>
      </c>
    </row>
    <row r="81" spans="1:14" x14ac:dyDescent="0.3">
      <c r="A81">
        <v>27745</v>
      </c>
      <c r="B81" t="s">
        <v>38</v>
      </c>
      <c r="C81" t="s">
        <v>40</v>
      </c>
      <c r="D81" s="1">
        <v>40000</v>
      </c>
      <c r="E81">
        <v>2</v>
      </c>
      <c r="F81" t="s">
        <v>13</v>
      </c>
      <c r="G81" t="s">
        <v>28</v>
      </c>
      <c r="H81" t="s">
        <v>15</v>
      </c>
      <c r="I81">
        <v>2</v>
      </c>
      <c r="J81" t="s">
        <v>23</v>
      </c>
      <c r="K81" t="s">
        <v>24</v>
      </c>
      <c r="L81">
        <v>63</v>
      </c>
      <c r="M81" t="str">
        <f t="shared" si="1"/>
        <v>Old</v>
      </c>
      <c r="N81" t="s">
        <v>15</v>
      </c>
    </row>
    <row r="82" spans="1:14" x14ac:dyDescent="0.3">
      <c r="A82">
        <v>20828</v>
      </c>
      <c r="B82" t="s">
        <v>37</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37</v>
      </c>
      <c r="C84" t="s">
        <v>40</v>
      </c>
      <c r="D84" s="1">
        <v>30000</v>
      </c>
      <c r="E84">
        <v>0</v>
      </c>
      <c r="F84" t="s">
        <v>13</v>
      </c>
      <c r="G84" t="s">
        <v>20</v>
      </c>
      <c r="H84" t="s">
        <v>15</v>
      </c>
      <c r="I84">
        <v>0</v>
      </c>
      <c r="J84" t="s">
        <v>16</v>
      </c>
      <c r="K84" t="s">
        <v>17</v>
      </c>
      <c r="L84">
        <v>47</v>
      </c>
      <c r="M84" t="str">
        <f t="shared" si="1"/>
        <v>Middle Age</v>
      </c>
      <c r="N84" t="s">
        <v>15</v>
      </c>
    </row>
    <row r="85" spans="1:14" x14ac:dyDescent="0.3">
      <c r="A85">
        <v>28412</v>
      </c>
      <c r="B85" t="s">
        <v>38</v>
      </c>
      <c r="C85" t="s">
        <v>40</v>
      </c>
      <c r="D85" s="1">
        <v>20000</v>
      </c>
      <c r="E85">
        <v>0</v>
      </c>
      <c r="F85" t="s">
        <v>27</v>
      </c>
      <c r="G85" t="s">
        <v>25</v>
      </c>
      <c r="H85" t="s">
        <v>18</v>
      </c>
      <c r="I85">
        <v>1</v>
      </c>
      <c r="J85" t="s">
        <v>22</v>
      </c>
      <c r="K85" t="s">
        <v>17</v>
      </c>
      <c r="L85">
        <v>29</v>
      </c>
      <c r="M85" t="str">
        <f t="shared" si="1"/>
        <v>Adolescent</v>
      </c>
      <c r="N85" t="s">
        <v>18</v>
      </c>
    </row>
    <row r="86" spans="1:14" x14ac:dyDescent="0.3">
      <c r="A86">
        <v>24485</v>
      </c>
      <c r="B86" t="s">
        <v>38</v>
      </c>
      <c r="C86" t="s">
        <v>40</v>
      </c>
      <c r="D86" s="1">
        <v>40000</v>
      </c>
      <c r="E86">
        <v>2</v>
      </c>
      <c r="F86" t="s">
        <v>13</v>
      </c>
      <c r="G86" t="s">
        <v>28</v>
      </c>
      <c r="H86" t="s">
        <v>18</v>
      </c>
      <c r="I86">
        <v>1</v>
      </c>
      <c r="J86" t="s">
        <v>23</v>
      </c>
      <c r="K86" t="s">
        <v>24</v>
      </c>
      <c r="L86">
        <v>52</v>
      </c>
      <c r="M86" t="str">
        <f t="shared" si="1"/>
        <v>Middle Age</v>
      </c>
      <c r="N86" t="s">
        <v>15</v>
      </c>
    </row>
    <row r="87" spans="1:14" x14ac:dyDescent="0.3">
      <c r="A87">
        <v>16514</v>
      </c>
      <c r="B87" t="s">
        <v>38</v>
      </c>
      <c r="C87" t="s">
        <v>40</v>
      </c>
      <c r="D87" s="1">
        <v>10000</v>
      </c>
      <c r="E87">
        <v>0</v>
      </c>
      <c r="F87" t="s">
        <v>19</v>
      </c>
      <c r="G87" t="s">
        <v>25</v>
      </c>
      <c r="H87" t="s">
        <v>15</v>
      </c>
      <c r="I87">
        <v>1</v>
      </c>
      <c r="J87" t="s">
        <v>26</v>
      </c>
      <c r="K87" t="s">
        <v>24</v>
      </c>
      <c r="L87">
        <v>26</v>
      </c>
      <c r="M87" t="str">
        <f t="shared" si="1"/>
        <v>Adolescent</v>
      </c>
      <c r="N87" t="s">
        <v>15</v>
      </c>
    </row>
    <row r="88" spans="1:14" x14ac:dyDescent="0.3">
      <c r="A88">
        <v>17191</v>
      </c>
      <c r="B88" t="s">
        <v>38</v>
      </c>
      <c r="C88" t="s">
        <v>40</v>
      </c>
      <c r="D88" s="1">
        <v>130000</v>
      </c>
      <c r="E88">
        <v>3</v>
      </c>
      <c r="F88" t="s">
        <v>19</v>
      </c>
      <c r="G88" t="s">
        <v>21</v>
      </c>
      <c r="H88" t="s">
        <v>18</v>
      </c>
      <c r="I88">
        <v>3</v>
      </c>
      <c r="J88" t="s">
        <v>16</v>
      </c>
      <c r="K88" t="s">
        <v>17</v>
      </c>
      <c r="L88">
        <v>51</v>
      </c>
      <c r="M88" t="str">
        <f t="shared" si="1"/>
        <v>Middle Age</v>
      </c>
      <c r="N88" t="s">
        <v>15</v>
      </c>
    </row>
    <row r="89" spans="1:14" x14ac:dyDescent="0.3">
      <c r="A89">
        <v>19608</v>
      </c>
      <c r="B89" t="s">
        <v>37</v>
      </c>
      <c r="C89" t="s">
        <v>40</v>
      </c>
      <c r="D89" s="1">
        <v>80000</v>
      </c>
      <c r="E89">
        <v>5</v>
      </c>
      <c r="F89" t="s">
        <v>13</v>
      </c>
      <c r="G89" t="s">
        <v>21</v>
      </c>
      <c r="H89" t="s">
        <v>15</v>
      </c>
      <c r="I89">
        <v>4</v>
      </c>
      <c r="J89" t="s">
        <v>26</v>
      </c>
      <c r="K89" t="s">
        <v>24</v>
      </c>
      <c r="L89">
        <v>40</v>
      </c>
      <c r="M89" t="str">
        <f t="shared" si="1"/>
        <v>Middle Age</v>
      </c>
      <c r="N89" t="s">
        <v>18</v>
      </c>
    </row>
    <row r="90" spans="1:14" x14ac:dyDescent="0.3">
      <c r="A90">
        <v>24119</v>
      </c>
      <c r="B90" t="s">
        <v>38</v>
      </c>
      <c r="C90" t="s">
        <v>40</v>
      </c>
      <c r="D90" s="1">
        <v>30000</v>
      </c>
      <c r="E90">
        <v>0</v>
      </c>
      <c r="F90" t="s">
        <v>19</v>
      </c>
      <c r="G90" t="s">
        <v>20</v>
      </c>
      <c r="H90" t="s">
        <v>18</v>
      </c>
      <c r="I90">
        <v>1</v>
      </c>
      <c r="J90" t="s">
        <v>22</v>
      </c>
      <c r="K90" t="s">
        <v>17</v>
      </c>
      <c r="L90">
        <v>29</v>
      </c>
      <c r="M90" t="str">
        <f t="shared" si="1"/>
        <v>Adolescent</v>
      </c>
      <c r="N90" t="s">
        <v>18</v>
      </c>
    </row>
    <row r="91" spans="1:14" x14ac:dyDescent="0.3">
      <c r="A91">
        <v>25458</v>
      </c>
      <c r="B91" t="s">
        <v>37</v>
      </c>
      <c r="C91" t="s">
        <v>40</v>
      </c>
      <c r="D91" s="1">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38</v>
      </c>
      <c r="C93" t="s">
        <v>40</v>
      </c>
      <c r="D93" s="1">
        <v>30000</v>
      </c>
      <c r="E93">
        <v>0</v>
      </c>
      <c r="F93" t="s">
        <v>19</v>
      </c>
      <c r="G93" t="s">
        <v>20</v>
      </c>
      <c r="H93" t="s">
        <v>18</v>
      </c>
      <c r="I93">
        <v>1</v>
      </c>
      <c r="J93" t="s">
        <v>16</v>
      </c>
      <c r="K93" t="s">
        <v>17</v>
      </c>
      <c r="L93">
        <v>30</v>
      </c>
      <c r="M93" t="str">
        <f t="shared" si="1"/>
        <v>Adolescent</v>
      </c>
      <c r="N93" t="s">
        <v>15</v>
      </c>
    </row>
    <row r="94" spans="1:14" x14ac:dyDescent="0.3">
      <c r="A94">
        <v>19562</v>
      </c>
      <c r="B94" t="s">
        <v>38</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38</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38</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37</v>
      </c>
      <c r="C98" t="s">
        <v>40</v>
      </c>
      <c r="D98" s="1">
        <v>30000</v>
      </c>
      <c r="E98">
        <v>1</v>
      </c>
      <c r="F98" t="s">
        <v>19</v>
      </c>
      <c r="G98" t="s">
        <v>20</v>
      </c>
      <c r="H98" t="s">
        <v>15</v>
      </c>
      <c r="I98">
        <v>1</v>
      </c>
      <c r="J98" t="s">
        <v>16</v>
      </c>
      <c r="K98" t="s">
        <v>17</v>
      </c>
      <c r="L98">
        <v>43</v>
      </c>
      <c r="M98" t="str">
        <f t="shared" si="1"/>
        <v>Middle Age</v>
      </c>
      <c r="N98" t="s">
        <v>18</v>
      </c>
    </row>
    <row r="99" spans="1:14" x14ac:dyDescent="0.3">
      <c r="A99">
        <v>23940</v>
      </c>
      <c r="B99" t="s">
        <v>37</v>
      </c>
      <c r="C99" t="s">
        <v>40</v>
      </c>
      <c r="D99" s="1">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40</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40</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40</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40</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40</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40</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40</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40</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40</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40</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40</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38</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40</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40</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40</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40</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40</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37</v>
      </c>
      <c r="C132" t="s">
        <v>40</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40</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40</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40</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40</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40</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40</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40</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39</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38</v>
      </c>
      <c r="C146" t="s">
        <v>40</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40</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40</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40</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40</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40</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40</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40</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40</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40</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40</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40</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40</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38</v>
      </c>
      <c r="C170" t="s">
        <v>40</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40</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40</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40</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40</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37</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40</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37</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40</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39</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37</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40</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37</v>
      </c>
      <c r="C190" t="s">
        <v>39</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37</v>
      </c>
      <c r="C191" t="s">
        <v>40</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40</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40</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37</v>
      </c>
      <c r="C195" t="s">
        <v>39</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38</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40</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40</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40</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38</v>
      </c>
      <c r="C202" t="s">
        <v>40</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40</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40</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40</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40</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38</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40</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37</v>
      </c>
      <c r="C216" t="s">
        <v>40</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40</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40</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40</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40</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40</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40</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39</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37</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40</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40</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40</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37</v>
      </c>
      <c r="C232" t="s">
        <v>40</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37</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40</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40</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37</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40</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40</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40</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39</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37</v>
      </c>
      <c r="C247" t="s">
        <v>40</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39</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37</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40</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40</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40</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40</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40</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38</v>
      </c>
      <c r="C256" t="s">
        <v>40</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40</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38</v>
      </c>
      <c r="C260" t="s">
        <v>39</v>
      </c>
      <c r="D260" s="1">
        <v>100000</v>
      </c>
      <c r="E260">
        <v>3</v>
      </c>
      <c r="F260" t="s">
        <v>19</v>
      </c>
      <c r="G260" t="s">
        <v>28</v>
      </c>
      <c r="H260" t="s">
        <v>15</v>
      </c>
      <c r="I260">
        <v>4</v>
      </c>
      <c r="J260" t="s">
        <v>47</v>
      </c>
      <c r="K260" t="s">
        <v>17</v>
      </c>
      <c r="L260">
        <v>56</v>
      </c>
      <c r="M260" t="str">
        <f t="shared" si="4"/>
        <v>Old</v>
      </c>
      <c r="N260" t="s">
        <v>18</v>
      </c>
    </row>
    <row r="261" spans="1:14" x14ac:dyDescent="0.3">
      <c r="A261">
        <v>12705</v>
      </c>
      <c r="B261" t="s">
        <v>37</v>
      </c>
      <c r="C261" t="s">
        <v>40</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37</v>
      </c>
      <c r="C266" t="s">
        <v>40</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40</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40</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40</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40</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38</v>
      </c>
      <c r="C281" t="s">
        <v>40</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40</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40</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40</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40</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40</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40</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40</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39</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38</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40</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40</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40</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40</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40</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40</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40</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40</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40</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40</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40</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40</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40</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40</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40</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40</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37</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40</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38</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40</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40</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40</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40</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39</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38</v>
      </c>
      <c r="C332" t="s">
        <v>39</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37</v>
      </c>
      <c r="C333" t="s">
        <v>40</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40</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40</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40</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40</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40</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40</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40</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40</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40</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40</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40</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40</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40</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40</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40</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40</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37</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40</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40</v>
      </c>
      <c r="D361" s="1">
        <v>80000</v>
      </c>
      <c r="E361">
        <v>0</v>
      </c>
      <c r="F361" t="s">
        <v>13</v>
      </c>
      <c r="G361" t="s">
        <v>21</v>
      </c>
      <c r="H361" t="s">
        <v>15</v>
      </c>
      <c r="I361">
        <v>3</v>
      </c>
      <c r="J361" t="s">
        <v>47</v>
      </c>
      <c r="K361" t="s">
        <v>24</v>
      </c>
      <c r="L361">
        <v>30</v>
      </c>
      <c r="M361" t="str">
        <f t="shared" si="5"/>
        <v>Adolescent</v>
      </c>
      <c r="N361" t="s">
        <v>18</v>
      </c>
    </row>
    <row r="362" spans="1:14" x14ac:dyDescent="0.3">
      <c r="A362">
        <v>13082</v>
      </c>
      <c r="B362" t="s">
        <v>38</v>
      </c>
      <c r="C362" t="s">
        <v>40</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40</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40</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39</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38</v>
      </c>
      <c r="C373" t="s">
        <v>40</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40</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40</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40</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40</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40</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40</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40</v>
      </c>
      <c r="D382" s="1">
        <v>70000</v>
      </c>
      <c r="E382">
        <v>0</v>
      </c>
      <c r="F382" t="s">
        <v>13</v>
      </c>
      <c r="G382" t="s">
        <v>21</v>
      </c>
      <c r="H382" t="s">
        <v>18</v>
      </c>
      <c r="I382">
        <v>3</v>
      </c>
      <c r="J382" t="s">
        <v>47</v>
      </c>
      <c r="K382" t="s">
        <v>24</v>
      </c>
      <c r="L382">
        <v>30</v>
      </c>
      <c r="M382" t="str">
        <f t="shared" si="5"/>
        <v>Adolescent</v>
      </c>
      <c r="N382" t="s">
        <v>15</v>
      </c>
    </row>
    <row r="383" spans="1:14" x14ac:dyDescent="0.3">
      <c r="A383">
        <v>22974</v>
      </c>
      <c r="B383" t="s">
        <v>37</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40</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37</v>
      </c>
      <c r="C385" t="s">
        <v>40</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40</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38</v>
      </c>
      <c r="C388" t="s">
        <v>39</v>
      </c>
      <c r="D388" s="1">
        <v>120000</v>
      </c>
      <c r="E388">
        <v>0</v>
      </c>
      <c r="F388" t="s">
        <v>29</v>
      </c>
      <c r="G388" t="s">
        <v>21</v>
      </c>
      <c r="H388" t="s">
        <v>15</v>
      </c>
      <c r="I388">
        <v>4</v>
      </c>
      <c r="J388" t="s">
        <v>47</v>
      </c>
      <c r="K388" t="s">
        <v>24</v>
      </c>
      <c r="L388">
        <v>34</v>
      </c>
      <c r="M388" t="str">
        <f t="shared" si="6"/>
        <v>Middle Age</v>
      </c>
      <c r="N388" t="s">
        <v>15</v>
      </c>
    </row>
    <row r="389" spans="1:14" x14ac:dyDescent="0.3">
      <c r="A389">
        <v>13690</v>
      </c>
      <c r="B389" t="s">
        <v>38</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40</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40</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40</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40</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40</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37</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40</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40</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40</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40</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40</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40</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40</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40</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39</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37</v>
      </c>
      <c r="C423" t="s">
        <v>40</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40</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38</v>
      </c>
      <c r="C425" t="s">
        <v>40</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40</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40</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40</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40</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39</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38</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40</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40</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37</v>
      </c>
      <c r="C443" t="s">
        <v>40</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40</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40</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39</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37</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38</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40</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40</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40</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38</v>
      </c>
      <c r="C461" t="s">
        <v>39</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38</v>
      </c>
      <c r="C462" t="s">
        <v>40</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40</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40</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40</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40</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40</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40</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40</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40</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40</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40</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40</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40</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39</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37</v>
      </c>
      <c r="C489" t="s">
        <v>40</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40</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40</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40</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40</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37</v>
      </c>
      <c r="C496" t="s">
        <v>40</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40</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38</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40</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40</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40</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40</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40</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40</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40</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40</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40</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39</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38</v>
      </c>
      <c r="C516" t="s">
        <v>40</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40</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40</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40</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40</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38</v>
      </c>
      <c r="C524" t="s">
        <v>40</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40</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40</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37</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40</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40</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37</v>
      </c>
      <c r="C532" t="s">
        <v>40</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40</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40</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37</v>
      </c>
      <c r="C536" t="s">
        <v>40</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37</v>
      </c>
      <c r="C537" t="s">
        <v>40</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38</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40</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40</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40</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40</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40</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40</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38</v>
      </c>
      <c r="C554" t="s">
        <v>40</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37</v>
      </c>
      <c r="C555" t="s">
        <v>40</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40</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40</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39</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37</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40</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40</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40</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40</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40</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37</v>
      </c>
      <c r="C572" t="s">
        <v>40</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40</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40</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40</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40</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38</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40</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37</v>
      </c>
      <c r="C580" t="s">
        <v>40</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37</v>
      </c>
      <c r="C583" t="s">
        <v>40</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40</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40</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38</v>
      </c>
      <c r="C586" t="s">
        <v>40</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40</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40</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39</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38</v>
      </c>
      <c r="C591" t="s">
        <v>40</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37</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40</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38</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40</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40</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40</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40</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40</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40</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40</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40</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40</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40</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39</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37</v>
      </c>
      <c r="C610" t="s">
        <v>40</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40</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40</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40</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40</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40</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40</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40</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40</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40</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40</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40</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40</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40</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40</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40</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37</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39</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38</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40</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38</v>
      </c>
      <c r="C653" t="s">
        <v>40</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40</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40</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40</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40</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40</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40</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37</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40</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40</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37</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40</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38</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40</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40</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40</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40</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40</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37</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40</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40</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40</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40</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40</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40</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40</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40</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40</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40</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40</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40</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39</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38</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40</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38</v>
      </c>
      <c r="C711" t="s">
        <v>39</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37</v>
      </c>
      <c r="C712" t="s">
        <v>40</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39</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37</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40</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40</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40</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40</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40</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40</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40</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40</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40</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40</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40</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40</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40</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39</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37</v>
      </c>
      <c r="C742" t="s">
        <v>40</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40</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40</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39</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37</v>
      </c>
      <c r="C747" t="s">
        <v>40</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39</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38</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40</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40</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40</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40</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40</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40</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40</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40</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39</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38</v>
      </c>
      <c r="C764" t="s">
        <v>40</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40</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40</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37</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37</v>
      </c>
      <c r="C772" t="s">
        <v>40</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37</v>
      </c>
      <c r="C773" t="s">
        <v>40</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40</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40</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38</v>
      </c>
      <c r="C778" t="s">
        <v>40</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40</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40</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40</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39</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37</v>
      </c>
      <c r="C783" t="s">
        <v>40</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40</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40</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40</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40</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40</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40</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40</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40</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40</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40</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40</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40</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40</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40</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40</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40</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40</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37</v>
      </c>
      <c r="C815" t="s">
        <v>39</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38</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40</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40</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40</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40</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40</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40</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40</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40</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40</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40</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38</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40</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40</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37</v>
      </c>
      <c r="C843" t="s">
        <v>40</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40</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38</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40</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40</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40</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40</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40</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40</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40</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40</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40</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40</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40</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40</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37</v>
      </c>
      <c r="C869" t="s">
        <v>40</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40</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38</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40</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40</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38</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40</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40</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40</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40</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40</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40</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40</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40</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40</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40</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40</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40</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40</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40</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38</v>
      </c>
      <c r="C900" t="s">
        <v>40</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37</v>
      </c>
      <c r="C901" t="s">
        <v>39</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37</v>
      </c>
      <c r="C902" t="s">
        <v>40</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40</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40</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40</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40</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40</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38</v>
      </c>
      <c r="C910" t="s">
        <v>40</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40</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40</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40</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40</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40</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38</v>
      </c>
      <c r="C918" t="s">
        <v>40</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40</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37</v>
      </c>
      <c r="C922" t="s">
        <v>40</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40</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40</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39</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37</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40</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40</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40</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37</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40</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40</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40</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40</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40</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40</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38</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40</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40</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40</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40</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40</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37</v>
      </c>
      <c r="C964" t="s">
        <v>40</v>
      </c>
      <c r="D964" s="1">
        <v>60000</v>
      </c>
      <c r="E964">
        <v>2</v>
      </c>
      <c r="F964" t="s">
        <v>19</v>
      </c>
      <c r="G964" t="s">
        <v>21</v>
      </c>
      <c r="H964" t="s">
        <v>15</v>
      </c>
      <c r="I964">
        <v>2</v>
      </c>
      <c r="J964" t="s">
        <v>47</v>
      </c>
      <c r="K964" t="s">
        <v>32</v>
      </c>
      <c r="L964">
        <v>55</v>
      </c>
      <c r="M964" t="str">
        <f t="shared" si="15"/>
        <v>Old</v>
      </c>
      <c r="N964" t="s">
        <v>18</v>
      </c>
    </row>
    <row r="965" spans="1:14" x14ac:dyDescent="0.3">
      <c r="A965">
        <v>16007</v>
      </c>
      <c r="B965" t="s">
        <v>37</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40</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38</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40</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40</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40</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40</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40</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40</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38</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40</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40</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37</v>
      </c>
      <c r="C983" t="s">
        <v>40</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40</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40</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40</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40</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38</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37</v>
      </c>
      <c r="C990" t="s">
        <v>40</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37</v>
      </c>
      <c r="C991" t="s">
        <v>40</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38</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40</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40</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40</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40</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40</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40</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40</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40</v>
      </c>
      <c r="D1001" s="1">
        <v>60000</v>
      </c>
      <c r="E1001">
        <v>3</v>
      </c>
      <c r="F1001" t="s">
        <v>27</v>
      </c>
      <c r="G1001" t="s">
        <v>21</v>
      </c>
      <c r="H1001" t="s">
        <v>15</v>
      </c>
      <c r="I1001">
        <v>2</v>
      </c>
      <c r="J1001" t="s">
        <v>47</v>
      </c>
      <c r="K1001" t="s">
        <v>32</v>
      </c>
      <c r="L1001">
        <v>53</v>
      </c>
      <c r="M1001" t="str">
        <f t="shared" si="15"/>
        <v>Middle Age</v>
      </c>
      <c r="N1001" t="s">
        <v>15</v>
      </c>
    </row>
  </sheetData>
  <autoFilter ref="A1:Q1027" xr:uid="{41494EC2-81B2-4B78-ACB0-9AD8E4A47A1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E077-1C7D-4935-BCDE-4A88F464AC79}">
  <dimension ref="A4:D112"/>
  <sheetViews>
    <sheetView topLeftCell="A49" workbookViewId="0">
      <selection activeCell="M53" sqref="M5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4" spans="1:4" x14ac:dyDescent="0.3">
      <c r="A4" s="4" t="s">
        <v>44</v>
      </c>
      <c r="B4" s="4" t="s">
        <v>45</v>
      </c>
    </row>
    <row r="5" spans="1:4" x14ac:dyDescent="0.3">
      <c r="A5" s="4" t="s">
        <v>42</v>
      </c>
      <c r="B5" t="s">
        <v>18</v>
      </c>
      <c r="C5" t="s">
        <v>15</v>
      </c>
      <c r="D5" t="s">
        <v>43</v>
      </c>
    </row>
    <row r="6" spans="1:4" x14ac:dyDescent="0.3">
      <c r="A6" s="5" t="s">
        <v>39</v>
      </c>
      <c r="B6" s="6">
        <v>53440</v>
      </c>
      <c r="C6" s="6">
        <v>55774.058577405856</v>
      </c>
      <c r="D6" s="6">
        <v>54580.777096114522</v>
      </c>
    </row>
    <row r="7" spans="1:4" x14ac:dyDescent="0.3">
      <c r="A7" s="5" t="s">
        <v>40</v>
      </c>
      <c r="B7" s="6">
        <v>56208.178438661707</v>
      </c>
      <c r="C7" s="6">
        <v>60123.966942148763</v>
      </c>
      <c r="D7" s="6">
        <v>58062.62230919765</v>
      </c>
    </row>
    <row r="8" spans="1:4" x14ac:dyDescent="0.3">
      <c r="A8" s="5" t="s">
        <v>43</v>
      </c>
      <c r="B8" s="6">
        <v>54874.759152215796</v>
      </c>
      <c r="C8" s="6">
        <v>57962.577962577961</v>
      </c>
      <c r="D8" s="6">
        <v>56360</v>
      </c>
    </row>
    <row r="23" spans="1:4" x14ac:dyDescent="0.3">
      <c r="A23" s="4" t="s">
        <v>46</v>
      </c>
      <c r="B23" s="4" t="s">
        <v>45</v>
      </c>
    </row>
    <row r="24" spans="1:4" x14ac:dyDescent="0.3">
      <c r="A24" s="4" t="s">
        <v>42</v>
      </c>
      <c r="B24" t="s">
        <v>18</v>
      </c>
      <c r="C24" t="s">
        <v>15</v>
      </c>
      <c r="D24" t="s">
        <v>43</v>
      </c>
    </row>
    <row r="25" spans="1:4" x14ac:dyDescent="0.3">
      <c r="A25" s="5" t="s">
        <v>16</v>
      </c>
      <c r="B25" s="3">
        <v>166</v>
      </c>
      <c r="C25" s="3">
        <v>200</v>
      </c>
      <c r="D25" s="3">
        <v>366</v>
      </c>
    </row>
    <row r="26" spans="1:4" x14ac:dyDescent="0.3">
      <c r="A26" s="5" t="s">
        <v>26</v>
      </c>
      <c r="B26" s="3">
        <v>92</v>
      </c>
      <c r="C26" s="3">
        <v>77</v>
      </c>
      <c r="D26" s="3">
        <v>169</v>
      </c>
    </row>
    <row r="27" spans="1:4" x14ac:dyDescent="0.3">
      <c r="A27" s="5" t="s">
        <v>22</v>
      </c>
      <c r="B27" s="3">
        <v>67</v>
      </c>
      <c r="C27" s="3">
        <v>95</v>
      </c>
      <c r="D27" s="3">
        <v>162</v>
      </c>
    </row>
    <row r="28" spans="1:4" x14ac:dyDescent="0.3">
      <c r="A28" s="5" t="s">
        <v>23</v>
      </c>
      <c r="B28" s="3">
        <v>116</v>
      </c>
      <c r="C28" s="3">
        <v>76</v>
      </c>
      <c r="D28" s="3">
        <v>192</v>
      </c>
    </row>
    <row r="29" spans="1:4" x14ac:dyDescent="0.3">
      <c r="A29" s="5" t="s">
        <v>47</v>
      </c>
      <c r="B29" s="3">
        <v>78</v>
      </c>
      <c r="C29" s="3">
        <v>33</v>
      </c>
      <c r="D29" s="3">
        <v>111</v>
      </c>
    </row>
    <row r="30" spans="1:4" x14ac:dyDescent="0.3">
      <c r="A30" s="5" t="s">
        <v>43</v>
      </c>
      <c r="B30" s="3">
        <v>519</v>
      </c>
      <c r="C30" s="3">
        <v>481</v>
      </c>
      <c r="D30" s="3">
        <v>1000</v>
      </c>
    </row>
    <row r="39" spans="1:4" x14ac:dyDescent="0.3">
      <c r="A39" s="4" t="s">
        <v>46</v>
      </c>
      <c r="B39" s="4" t="s">
        <v>45</v>
      </c>
    </row>
    <row r="40" spans="1:4" x14ac:dyDescent="0.3">
      <c r="A40" s="4" t="s">
        <v>42</v>
      </c>
      <c r="B40" t="s">
        <v>18</v>
      </c>
      <c r="C40" t="s">
        <v>15</v>
      </c>
      <c r="D40" t="s">
        <v>43</v>
      </c>
    </row>
    <row r="41" spans="1:4" x14ac:dyDescent="0.3">
      <c r="A41" s="5" t="s">
        <v>48</v>
      </c>
      <c r="B41" s="3">
        <v>71</v>
      </c>
      <c r="C41" s="3">
        <v>39</v>
      </c>
      <c r="D41" s="3">
        <v>110</v>
      </c>
    </row>
    <row r="42" spans="1:4" x14ac:dyDescent="0.3">
      <c r="A42" s="5" t="s">
        <v>49</v>
      </c>
      <c r="B42" s="3">
        <v>318</v>
      </c>
      <c r="C42" s="3">
        <v>383</v>
      </c>
      <c r="D42" s="3">
        <v>701</v>
      </c>
    </row>
    <row r="43" spans="1:4" x14ac:dyDescent="0.3">
      <c r="A43" s="5" t="s">
        <v>50</v>
      </c>
      <c r="B43" s="3">
        <v>130</v>
      </c>
      <c r="C43" s="3">
        <v>59</v>
      </c>
      <c r="D43" s="3">
        <v>189</v>
      </c>
    </row>
    <row r="44" spans="1:4" x14ac:dyDescent="0.3">
      <c r="A44" s="5" t="s">
        <v>43</v>
      </c>
      <c r="B44" s="3">
        <v>519</v>
      </c>
      <c r="C44" s="3">
        <v>481</v>
      </c>
      <c r="D44" s="3">
        <v>1000</v>
      </c>
    </row>
    <row r="57" spans="1:4" x14ac:dyDescent="0.3">
      <c r="A57" s="4" t="s">
        <v>46</v>
      </c>
      <c r="B57" s="4" t="s">
        <v>45</v>
      </c>
    </row>
    <row r="58" spans="1:4" x14ac:dyDescent="0.3">
      <c r="A58" s="4" t="s">
        <v>42</v>
      </c>
      <c r="B58" t="s">
        <v>18</v>
      </c>
      <c r="C58" t="s">
        <v>15</v>
      </c>
      <c r="D58" t="s">
        <v>43</v>
      </c>
    </row>
    <row r="59" spans="1:4" x14ac:dyDescent="0.3">
      <c r="A59" s="5">
        <v>25</v>
      </c>
      <c r="B59" s="3">
        <v>2</v>
      </c>
      <c r="C59" s="3">
        <v>4</v>
      </c>
      <c r="D59" s="3">
        <v>6</v>
      </c>
    </row>
    <row r="60" spans="1:4" x14ac:dyDescent="0.3">
      <c r="A60" s="5">
        <v>26</v>
      </c>
      <c r="B60" s="3">
        <v>8</v>
      </c>
      <c r="C60" s="3">
        <v>8</v>
      </c>
      <c r="D60" s="3">
        <v>16</v>
      </c>
    </row>
    <row r="61" spans="1:4" x14ac:dyDescent="0.3">
      <c r="A61" s="5">
        <v>27</v>
      </c>
      <c r="B61" s="3">
        <v>15</v>
      </c>
      <c r="C61" s="3">
        <v>8</v>
      </c>
      <c r="D61" s="3">
        <v>23</v>
      </c>
    </row>
    <row r="62" spans="1:4" x14ac:dyDescent="0.3">
      <c r="A62" s="5">
        <v>28</v>
      </c>
      <c r="B62" s="3">
        <v>12</v>
      </c>
      <c r="C62" s="3">
        <v>10</v>
      </c>
      <c r="D62" s="3">
        <v>22</v>
      </c>
    </row>
    <row r="63" spans="1:4" x14ac:dyDescent="0.3">
      <c r="A63" s="5">
        <v>29</v>
      </c>
      <c r="B63" s="3">
        <v>11</v>
      </c>
      <c r="C63" s="3">
        <v>5</v>
      </c>
      <c r="D63" s="3">
        <v>16</v>
      </c>
    </row>
    <row r="64" spans="1:4" x14ac:dyDescent="0.3">
      <c r="A64" s="5">
        <v>30</v>
      </c>
      <c r="B64" s="3">
        <v>23</v>
      </c>
      <c r="C64" s="3">
        <v>4</v>
      </c>
      <c r="D64" s="3">
        <v>27</v>
      </c>
    </row>
    <row r="65" spans="1:4" x14ac:dyDescent="0.3">
      <c r="A65" s="5">
        <v>31</v>
      </c>
      <c r="B65" s="3">
        <v>17</v>
      </c>
      <c r="C65" s="3">
        <v>8</v>
      </c>
      <c r="D65" s="3">
        <v>25</v>
      </c>
    </row>
    <row r="66" spans="1:4" x14ac:dyDescent="0.3">
      <c r="A66" s="5">
        <v>32</v>
      </c>
      <c r="B66" s="3">
        <v>19</v>
      </c>
      <c r="C66" s="3">
        <v>14</v>
      </c>
      <c r="D66" s="3">
        <v>33</v>
      </c>
    </row>
    <row r="67" spans="1:4" x14ac:dyDescent="0.3">
      <c r="A67" s="5">
        <v>33</v>
      </c>
      <c r="B67" s="3">
        <v>8</v>
      </c>
      <c r="C67" s="3">
        <v>13</v>
      </c>
      <c r="D67" s="3">
        <v>21</v>
      </c>
    </row>
    <row r="68" spans="1:4" x14ac:dyDescent="0.3">
      <c r="A68" s="5">
        <v>34</v>
      </c>
      <c r="B68" s="3">
        <v>12</v>
      </c>
      <c r="C68" s="3">
        <v>19</v>
      </c>
      <c r="D68" s="3">
        <v>31</v>
      </c>
    </row>
    <row r="69" spans="1:4" x14ac:dyDescent="0.3">
      <c r="A69" s="5">
        <v>35</v>
      </c>
      <c r="B69" s="3">
        <v>14</v>
      </c>
      <c r="C69" s="3">
        <v>22</v>
      </c>
      <c r="D69" s="3">
        <v>36</v>
      </c>
    </row>
    <row r="70" spans="1:4" x14ac:dyDescent="0.3">
      <c r="A70" s="5">
        <v>36</v>
      </c>
      <c r="B70" s="3">
        <v>7</v>
      </c>
      <c r="C70" s="3">
        <v>30</v>
      </c>
      <c r="D70" s="3">
        <v>37</v>
      </c>
    </row>
    <row r="71" spans="1:4" x14ac:dyDescent="0.3">
      <c r="A71" s="5">
        <v>37</v>
      </c>
      <c r="B71" s="3">
        <v>4</v>
      </c>
      <c r="C71" s="3">
        <v>28</v>
      </c>
      <c r="D71" s="3">
        <v>32</v>
      </c>
    </row>
    <row r="72" spans="1:4" x14ac:dyDescent="0.3">
      <c r="A72" s="5">
        <v>38</v>
      </c>
      <c r="B72" s="3">
        <v>8</v>
      </c>
      <c r="C72" s="3">
        <v>29</v>
      </c>
      <c r="D72" s="3">
        <v>37</v>
      </c>
    </row>
    <row r="73" spans="1:4" x14ac:dyDescent="0.3">
      <c r="A73" s="5">
        <v>39</v>
      </c>
      <c r="B73" s="3">
        <v>10</v>
      </c>
      <c r="C73" s="3">
        <v>12</v>
      </c>
      <c r="D73" s="3">
        <v>22</v>
      </c>
    </row>
    <row r="74" spans="1:4" x14ac:dyDescent="0.3">
      <c r="A74" s="5">
        <v>40</v>
      </c>
      <c r="B74" s="3">
        <v>24</v>
      </c>
      <c r="C74" s="3">
        <v>18</v>
      </c>
      <c r="D74" s="3">
        <v>42</v>
      </c>
    </row>
    <row r="75" spans="1:4" x14ac:dyDescent="0.3">
      <c r="A75" s="5">
        <v>41</v>
      </c>
      <c r="B75" s="3">
        <v>13</v>
      </c>
      <c r="C75" s="3">
        <v>15</v>
      </c>
      <c r="D75" s="3">
        <v>28</v>
      </c>
    </row>
    <row r="76" spans="1:4" x14ac:dyDescent="0.3">
      <c r="A76" s="5">
        <v>42</v>
      </c>
      <c r="B76" s="3">
        <v>22</v>
      </c>
      <c r="C76" s="3">
        <v>12</v>
      </c>
      <c r="D76" s="3">
        <v>34</v>
      </c>
    </row>
    <row r="77" spans="1:4" x14ac:dyDescent="0.3">
      <c r="A77" s="5">
        <v>43</v>
      </c>
      <c r="B77" s="3">
        <v>17</v>
      </c>
      <c r="C77" s="3">
        <v>19</v>
      </c>
      <c r="D77" s="3">
        <v>36</v>
      </c>
    </row>
    <row r="78" spans="1:4" x14ac:dyDescent="0.3">
      <c r="A78" s="5">
        <v>44</v>
      </c>
      <c r="B78" s="3">
        <v>15</v>
      </c>
      <c r="C78" s="3">
        <v>12</v>
      </c>
      <c r="D78" s="3">
        <v>27</v>
      </c>
    </row>
    <row r="79" spans="1:4" x14ac:dyDescent="0.3">
      <c r="A79" s="5">
        <v>45</v>
      </c>
      <c r="B79" s="3">
        <v>18</v>
      </c>
      <c r="C79" s="3">
        <v>13</v>
      </c>
      <c r="D79" s="3">
        <v>31</v>
      </c>
    </row>
    <row r="80" spans="1:4" x14ac:dyDescent="0.3">
      <c r="A80" s="5">
        <v>46</v>
      </c>
      <c r="B80" s="3">
        <v>12</v>
      </c>
      <c r="C80" s="3">
        <v>15</v>
      </c>
      <c r="D80" s="3">
        <v>27</v>
      </c>
    </row>
    <row r="81" spans="1:4" x14ac:dyDescent="0.3">
      <c r="A81" s="5">
        <v>47</v>
      </c>
      <c r="B81" s="3">
        <v>19</v>
      </c>
      <c r="C81" s="3">
        <v>20</v>
      </c>
      <c r="D81" s="3">
        <v>39</v>
      </c>
    </row>
    <row r="82" spans="1:4" x14ac:dyDescent="0.3">
      <c r="A82" s="5">
        <v>48</v>
      </c>
      <c r="B82" s="3">
        <v>16</v>
      </c>
      <c r="C82" s="3">
        <v>13</v>
      </c>
      <c r="D82" s="3">
        <v>29</v>
      </c>
    </row>
    <row r="83" spans="1:4" x14ac:dyDescent="0.3">
      <c r="A83" s="5">
        <v>49</v>
      </c>
      <c r="B83" s="3">
        <v>15</v>
      </c>
      <c r="C83" s="3">
        <v>8</v>
      </c>
      <c r="D83" s="3">
        <v>23</v>
      </c>
    </row>
    <row r="84" spans="1:4" x14ac:dyDescent="0.3">
      <c r="A84" s="5">
        <v>50</v>
      </c>
      <c r="B84" s="3">
        <v>12</v>
      </c>
      <c r="C84" s="3">
        <v>12</v>
      </c>
      <c r="D84" s="3">
        <v>24</v>
      </c>
    </row>
    <row r="85" spans="1:4" x14ac:dyDescent="0.3">
      <c r="A85" s="5">
        <v>51</v>
      </c>
      <c r="B85" s="3">
        <v>10</v>
      </c>
      <c r="C85" s="3">
        <v>12</v>
      </c>
      <c r="D85" s="3">
        <v>22</v>
      </c>
    </row>
    <row r="86" spans="1:4" x14ac:dyDescent="0.3">
      <c r="A86" s="5">
        <v>52</v>
      </c>
      <c r="B86" s="3">
        <v>10</v>
      </c>
      <c r="C86" s="3">
        <v>15</v>
      </c>
      <c r="D86" s="3">
        <v>25</v>
      </c>
    </row>
    <row r="87" spans="1:4" x14ac:dyDescent="0.3">
      <c r="A87" s="5">
        <v>53</v>
      </c>
      <c r="B87" s="3">
        <v>11</v>
      </c>
      <c r="C87" s="3">
        <v>13</v>
      </c>
      <c r="D87" s="3">
        <v>24</v>
      </c>
    </row>
    <row r="88" spans="1:4" x14ac:dyDescent="0.3">
      <c r="A88" s="5">
        <v>54</v>
      </c>
      <c r="B88" s="3">
        <v>5</v>
      </c>
      <c r="C88" s="3">
        <v>11</v>
      </c>
      <c r="D88" s="3">
        <v>16</v>
      </c>
    </row>
    <row r="89" spans="1:4" x14ac:dyDescent="0.3">
      <c r="A89" s="5">
        <v>55</v>
      </c>
      <c r="B89" s="3">
        <v>13</v>
      </c>
      <c r="C89" s="3">
        <v>5</v>
      </c>
      <c r="D89" s="3">
        <v>18</v>
      </c>
    </row>
    <row r="90" spans="1:4" x14ac:dyDescent="0.3">
      <c r="A90" s="5">
        <v>56</v>
      </c>
      <c r="B90" s="3">
        <v>13</v>
      </c>
      <c r="C90" s="3">
        <v>3</v>
      </c>
      <c r="D90" s="3">
        <v>16</v>
      </c>
    </row>
    <row r="91" spans="1:4" x14ac:dyDescent="0.3">
      <c r="A91" s="5">
        <v>57</v>
      </c>
      <c r="B91" s="3">
        <v>4</v>
      </c>
      <c r="C91" s="3">
        <v>4</v>
      </c>
      <c r="D91" s="3">
        <v>8</v>
      </c>
    </row>
    <row r="92" spans="1:4" x14ac:dyDescent="0.3">
      <c r="A92" s="5">
        <v>58</v>
      </c>
      <c r="B92" s="3">
        <v>8</v>
      </c>
      <c r="C92" s="3">
        <v>4</v>
      </c>
      <c r="D92" s="3">
        <v>12</v>
      </c>
    </row>
    <row r="93" spans="1:4" x14ac:dyDescent="0.3">
      <c r="A93" s="5">
        <v>59</v>
      </c>
      <c r="B93" s="3">
        <v>14</v>
      </c>
      <c r="C93" s="3">
        <v>6</v>
      </c>
      <c r="D93" s="3">
        <v>20</v>
      </c>
    </row>
    <row r="94" spans="1:4" x14ac:dyDescent="0.3">
      <c r="A94" s="5">
        <v>60</v>
      </c>
      <c r="B94" s="3">
        <v>8</v>
      </c>
      <c r="C94" s="3">
        <v>7</v>
      </c>
      <c r="D94" s="3">
        <v>15</v>
      </c>
    </row>
    <row r="95" spans="1:4" x14ac:dyDescent="0.3">
      <c r="A95" s="5">
        <v>61</v>
      </c>
      <c r="B95" s="3">
        <v>5</v>
      </c>
      <c r="C95" s="3">
        <v>4</v>
      </c>
      <c r="D95" s="3">
        <v>9</v>
      </c>
    </row>
    <row r="96" spans="1:4" x14ac:dyDescent="0.3">
      <c r="A96" s="5">
        <v>62</v>
      </c>
      <c r="B96" s="3">
        <v>9</v>
      </c>
      <c r="C96" s="3">
        <v>4</v>
      </c>
      <c r="D96" s="3">
        <v>13</v>
      </c>
    </row>
    <row r="97" spans="1:4" x14ac:dyDescent="0.3">
      <c r="A97" s="5">
        <v>63</v>
      </c>
      <c r="B97" s="3">
        <v>7</v>
      </c>
      <c r="C97" s="3">
        <v>2</v>
      </c>
      <c r="D97" s="3">
        <v>9</v>
      </c>
    </row>
    <row r="98" spans="1:4" x14ac:dyDescent="0.3">
      <c r="A98" s="5">
        <v>64</v>
      </c>
      <c r="B98" s="3">
        <v>7</v>
      </c>
      <c r="C98" s="3">
        <v>3</v>
      </c>
      <c r="D98" s="3">
        <v>10</v>
      </c>
    </row>
    <row r="99" spans="1:4" x14ac:dyDescent="0.3">
      <c r="A99" s="5">
        <v>65</v>
      </c>
      <c r="B99" s="3">
        <v>6</v>
      </c>
      <c r="C99" s="3">
        <v>3</v>
      </c>
      <c r="D99" s="3">
        <v>9</v>
      </c>
    </row>
    <row r="100" spans="1:4" x14ac:dyDescent="0.3">
      <c r="A100" s="5">
        <v>66</v>
      </c>
      <c r="B100" s="3">
        <v>8</v>
      </c>
      <c r="C100" s="3">
        <v>6</v>
      </c>
      <c r="D100" s="3">
        <v>14</v>
      </c>
    </row>
    <row r="101" spans="1:4" x14ac:dyDescent="0.3">
      <c r="A101" s="5">
        <v>67</v>
      </c>
      <c r="B101" s="3">
        <v>8</v>
      </c>
      <c r="C101" s="3">
        <v>2</v>
      </c>
      <c r="D101" s="3">
        <v>10</v>
      </c>
    </row>
    <row r="102" spans="1:4" x14ac:dyDescent="0.3">
      <c r="A102" s="5">
        <v>68</v>
      </c>
      <c r="B102" s="3">
        <v>3</v>
      </c>
      <c r="C102" s="3"/>
      <c r="D102" s="3">
        <v>3</v>
      </c>
    </row>
    <row r="103" spans="1:4" x14ac:dyDescent="0.3">
      <c r="A103" s="5">
        <v>69</v>
      </c>
      <c r="B103" s="3">
        <v>8</v>
      </c>
      <c r="C103" s="3"/>
      <c r="D103" s="3">
        <v>8</v>
      </c>
    </row>
    <row r="104" spans="1:4" x14ac:dyDescent="0.3">
      <c r="A104" s="5">
        <v>70</v>
      </c>
      <c r="B104" s="3">
        <v>3</v>
      </c>
      <c r="C104" s="3">
        <v>1</v>
      </c>
      <c r="D104" s="3">
        <v>4</v>
      </c>
    </row>
    <row r="105" spans="1:4" x14ac:dyDescent="0.3">
      <c r="A105" s="5">
        <v>71</v>
      </c>
      <c r="B105" s="3">
        <v>1</v>
      </c>
      <c r="C105" s="3"/>
      <c r="D105" s="3">
        <v>1</v>
      </c>
    </row>
    <row r="106" spans="1:4" x14ac:dyDescent="0.3">
      <c r="A106" s="5">
        <v>72</v>
      </c>
      <c r="B106" s="3"/>
      <c r="C106" s="3">
        <v>1</v>
      </c>
      <c r="D106" s="3">
        <v>1</v>
      </c>
    </row>
    <row r="107" spans="1:4" x14ac:dyDescent="0.3">
      <c r="A107" s="5">
        <v>73</v>
      </c>
      <c r="B107" s="3">
        <v>2</v>
      </c>
      <c r="C107" s="3">
        <v>2</v>
      </c>
      <c r="D107" s="3">
        <v>4</v>
      </c>
    </row>
    <row r="108" spans="1:4" x14ac:dyDescent="0.3">
      <c r="A108" s="5">
        <v>74</v>
      </c>
      <c r="B108" s="3"/>
      <c r="C108" s="3">
        <v>1</v>
      </c>
      <c r="D108" s="3">
        <v>1</v>
      </c>
    </row>
    <row r="109" spans="1:4" x14ac:dyDescent="0.3">
      <c r="A109" s="5">
        <v>78</v>
      </c>
      <c r="B109" s="3">
        <v>1</v>
      </c>
      <c r="C109" s="3">
        <v>1</v>
      </c>
      <c r="D109" s="3">
        <v>2</v>
      </c>
    </row>
    <row r="110" spans="1:4" x14ac:dyDescent="0.3">
      <c r="A110" s="5">
        <v>80</v>
      </c>
      <c r="B110" s="3">
        <v>1</v>
      </c>
      <c r="C110" s="3"/>
      <c r="D110" s="3">
        <v>1</v>
      </c>
    </row>
    <row r="111" spans="1:4" x14ac:dyDescent="0.3">
      <c r="A111" s="5">
        <v>89</v>
      </c>
      <c r="B111" s="3">
        <v>1</v>
      </c>
      <c r="C111" s="3"/>
      <c r="D111" s="3">
        <v>1</v>
      </c>
    </row>
    <row r="112" spans="1:4" x14ac:dyDescent="0.3">
      <c r="A112" s="5" t="s">
        <v>43</v>
      </c>
      <c r="B112" s="3">
        <v>519</v>
      </c>
      <c r="C112" s="3">
        <v>481</v>
      </c>
      <c r="D112"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5695-AD34-4AB0-96DA-E94DE635A62F}">
  <dimension ref="A1:W27"/>
  <sheetViews>
    <sheetView showGridLines="0" tabSelected="1" zoomScale="85" zoomScaleNormal="85" workbookViewId="0">
      <selection sqref="A1:O6"/>
    </sheetView>
  </sheetViews>
  <sheetFormatPr defaultRowHeight="14.4" x14ac:dyDescent="0.3"/>
  <sheetData>
    <row r="1" spans="1:15" x14ac:dyDescent="0.3">
      <c r="A1" s="7" t="s">
        <v>51</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row r="23" spans="17:23" x14ac:dyDescent="0.3">
      <c r="Q23" t="s">
        <v>36</v>
      </c>
    </row>
    <row r="27" spans="17:23" x14ac:dyDescent="0.3">
      <c r="W27" t="s">
        <v>36</v>
      </c>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2022-03-18T02:50:57Z</dcterms:created>
  <dcterms:modified xsi:type="dcterms:W3CDTF">2026-05-02T15:58:32Z</dcterms:modified>
</cp:coreProperties>
</file>